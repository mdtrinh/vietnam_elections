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?><Relationships xmlns="http://schemas.openxmlformats.org/package/2006/relationships"><Relationship Target="xl/workbook.xml" Type="http://schemas.openxmlformats.org/officeDocument/2006/relationships/officeDocument" Id="rId1"></Relationship><Relationship Target="docProps/core.xml" Type="http://schemas.openxmlformats.org/package/2006/relationships/metadata/core-properties" Id="rId2"></Relationship><Relationship Target="docProps/app.xml" Type="http://schemas.openxmlformats.org/officeDocument/2006/relationships/extended-properties" Id="rId3"></Relationship><Relationship Target="docProps/custom.xml" Type="http://schemas.openxmlformats.org/officeDocument/2006/relationships/custom-properties" Id="rId4"></Relationship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05" windowWidth="12120" windowHeight="9120"/>
  </bookViews>
  <sheets>
    <sheet name="DT10" sheetId="8" r:id="rId1"/>
    <sheet name="DT11" sheetId="9" r:id="rId2"/>
    <sheet name="DT12" sheetId="10" r:id="rId3"/>
    <sheet name="DT13" sheetId="11" r:id="rId4"/>
    <sheet name="DT14" sheetId="12" r:id="rId5"/>
    <sheet name="DT17" sheetId="13" r:id="rId6"/>
    <sheet name="DT18" sheetId="14" r:id="rId7"/>
    <sheet name="DT19" sheetId="15" r:id="rId8"/>
  </sheets>
  <definedNames>
    <definedName name="_xlnm.Print_Titles" localSheetId="2">'DT12'!$8:$8</definedName>
    <definedName name="_xlnm.Print_Titles" localSheetId="5">'DT17'!$7:$8</definedName>
    <definedName name="_xlnm.Print_Titles" localSheetId="7">'DT19'!$6:$7</definedName>
  </definedNames>
  <calcPr calcId="125725"/>
  <fileRecoveryPr autoRecover="0"/>
</workbook>
</file>

<file path=xl/calcChain.xml><?xml version="1.0" encoding="utf-8"?>
<calcChain xmlns="http://schemas.openxmlformats.org/spreadsheetml/2006/main">
  <c r="C31" i="8"/>
  <c r="C30"/>
  <c r="C26"/>
  <c r="C25"/>
  <c r="C22"/>
  <c r="C18"/>
  <c r="C15"/>
  <c r="C14" s="1"/>
  <c r="C7"/>
  <c r="C24" l="1"/>
</calcChain>
</file>

<file path=xl/sharedStrings.xml><?xml version="1.0" encoding="utf-8"?>
<sst xmlns="http://schemas.openxmlformats.org/spreadsheetml/2006/main" count="348" uniqueCount="213">
  <si>
    <t>Đơn vị tính: triệu đồng</t>
  </si>
  <si>
    <t>STT</t>
  </si>
  <si>
    <t>Chỉ tiêu</t>
  </si>
  <si>
    <t>TỔNG CHI NGÂN SÁCH ĐỊA PHƯƠNG</t>
  </si>
  <si>
    <t>A</t>
  </si>
  <si>
    <t>Tổng chi cân đối ngân sách địa phương</t>
  </si>
  <si>
    <t>I</t>
  </si>
  <si>
    <t>Chi đầu tư phát triển</t>
  </si>
  <si>
    <t>Trong đó:</t>
  </si>
  <si>
    <t>- Chi giáo dục, đào tạo và dạy nghề</t>
  </si>
  <si>
    <t>- Chi khoa học công nghệ</t>
  </si>
  <si>
    <t>II</t>
  </si>
  <si>
    <t>Chi thường xuyên</t>
  </si>
  <si>
    <t>III</t>
  </si>
  <si>
    <t>Chi trả nợ gốc và lãi huy động đầu tư CSHT theo khoản 3 Điều 8 của Luật NSNN</t>
  </si>
  <si>
    <t>IV</t>
  </si>
  <si>
    <t>Chi bổ sung Qũy dự trữ tài chính</t>
  </si>
  <si>
    <t>V</t>
  </si>
  <si>
    <t>VI</t>
  </si>
  <si>
    <t>B</t>
  </si>
  <si>
    <t>Các khoản chi được quản lý qua NSNN</t>
  </si>
  <si>
    <t>TỔNG THU NGÂN SÁCH NHÀ NƯỚC TRÊN ĐỊA BÀN</t>
  </si>
  <si>
    <t>Tổng thu các khoản cân đối ngân sách nhà nước</t>
  </si>
  <si>
    <t>Thu từ hoạt động sản xuất kinh doanh trong nước</t>
  </si>
  <si>
    <t>Thu từ doanh nghiệp nhà nước trung ương</t>
  </si>
  <si>
    <t>- Thuế giá trị gia tăng</t>
  </si>
  <si>
    <t>- Thuế thu nhập doanh nghiệp</t>
  </si>
  <si>
    <t>- Thuế tiêu thụ đặc biệt hàng hóa, dịch vụ trong nước</t>
  </si>
  <si>
    <t>- Thuế môn bài</t>
  </si>
  <si>
    <t>- Thuế tài nguyên</t>
  </si>
  <si>
    <t>Thu từ doanh nghiệp nhà nước địa phương</t>
  </si>
  <si>
    <t>Thu từ doanh nghiệp có vốn đầu tư nước ngoài</t>
  </si>
  <si>
    <t>- Tiền thuê mặt đất, mặt nước</t>
  </si>
  <si>
    <t>Thu từ khu vực ngoài quốc doanh</t>
  </si>
  <si>
    <t>- Thu khác</t>
  </si>
  <si>
    <t>Lệ phí trước bạ</t>
  </si>
  <si>
    <t xml:space="preserve">Thuế sử dụng đất nông nghiệp </t>
  </si>
  <si>
    <t xml:space="preserve">Thuế sử dụng đất phi nông nghiệp </t>
  </si>
  <si>
    <t>Thuế thu nhập đối với người có thu nhập cao</t>
  </si>
  <si>
    <t>Thuế bảo vệ môi trường</t>
  </si>
  <si>
    <t>Thu tại xã</t>
  </si>
  <si>
    <t>Thu phí, lệ phí</t>
  </si>
  <si>
    <t>Các khoản thu về nhà, đất</t>
  </si>
  <si>
    <t>a</t>
  </si>
  <si>
    <t>Thu tiền sử dụng đất</t>
  </si>
  <si>
    <t>Thu tiền cho thuê mặt đất, mặt nước</t>
  </si>
  <si>
    <t>Thu khác ngân sách</t>
  </si>
  <si>
    <t>Thu thuế xuất khẩu, nhập khẩu, thuế TTĐB, thuế giá trị gia tăng hàng nhập khẩu do Hải quan thu</t>
  </si>
  <si>
    <t>Các khoản thu được để lại chi quản lý qua ngân sách nhà nước</t>
  </si>
  <si>
    <t>Trong đó: Thu xổ số kiến thiết</t>
  </si>
  <si>
    <t>TỔNG THU NGÂN SÁCH ĐỊA PHƯƠNG</t>
  </si>
  <si>
    <t>Các khoản thu cân đối ngân sách địa phương</t>
  </si>
  <si>
    <t>Các khoản thu hưởng 100%</t>
  </si>
  <si>
    <t>Thu phân chia theo tỷ lệ phần trăm (%) NSĐP được hưởng</t>
  </si>
  <si>
    <t>Thu bổ sung từ ngân sách trung ương</t>
  </si>
  <si>
    <t>Các khoản thu được để lại chi quản lý qua NSNN</t>
  </si>
  <si>
    <t>Tổng số thu ngân sách nhà nước trên địa bàn</t>
  </si>
  <si>
    <t>Thu nội địa (không kể thu từ dầu thô)</t>
  </si>
  <si>
    <t>Thu từ dầu thô</t>
  </si>
  <si>
    <t>Thu viện trợ không hoàn lại</t>
  </si>
  <si>
    <t>Thu ngân sách địa phương</t>
  </si>
  <si>
    <t>Thu ngân sách địa phương hưởng theo phân cấp</t>
  </si>
  <si>
    <t>- Các khoản thu ngân sách địa phương hưởng 100%</t>
  </si>
  <si>
    <t>- Các khoản thu phân chia ngân sách địa phương hưởng theo tỷ lệ phần trăm (%)</t>
  </si>
  <si>
    <t>- Bổ sung cân đối</t>
  </si>
  <si>
    <t>- Bổ sung có mục tiêu</t>
  </si>
  <si>
    <t>Thu chuyển nguồn ngân sách năm trước</t>
  </si>
  <si>
    <t>Chi ngân sách địa phương</t>
  </si>
  <si>
    <t>Chi bổ sung quỹ dự trữ tài chính</t>
  </si>
  <si>
    <t>NGÂN SÁCH CẤP TỈNH</t>
  </si>
  <si>
    <t>Nguồn thu ngân sách cấp tỉnh</t>
  </si>
  <si>
    <t>Thu ngân sách cấp tỉnh hưởng theo phân cấp</t>
  </si>
  <si>
    <t>- Các khoản thu ngân sách cấp tỉnh hưởng 100%</t>
  </si>
  <si>
    <t>- Các khoản thu ngân sách phân chia phần ngân sách cấp tỉnh hưởng theo tỷ lệ phần trăm (%)</t>
  </si>
  <si>
    <t>Chi ngân sách cấp tỉnh</t>
  </si>
  <si>
    <t>Chi thuộc nhiệm vụ của ngân sách cấp tỉnh theo phân cấp (không kể số bổ sung cho ngân sách cấp dưới)</t>
  </si>
  <si>
    <t>NGÂN SÁCH HUYỆN, THÀNH PHỐ THUỘC TỈNH (BAO GỒM NGÂN SÁCH CẤP HUYỆN VÀ NGÂN SÁCH XÃ)</t>
  </si>
  <si>
    <t>Nguồn thu ngân sách huyện, thành phố thuộc tỉnh</t>
  </si>
  <si>
    <t>- Các khoản thu ngân sách huyện hưởng 100%</t>
  </si>
  <si>
    <t>- Các khoản thu phân chia phần ngân sách huyện hưởng theo tỷ lệ phần trăm (%)</t>
  </si>
  <si>
    <t>Chi ngân sách huyện, thành phố thuộc tỉnh</t>
  </si>
  <si>
    <t>TỔNG CHI NGÂN SÁCH CẤP TỈNH</t>
  </si>
  <si>
    <t>Chi đầu tư xây dựng cơ bản</t>
  </si>
  <si>
    <t>Chi đầu tư phát triển khác</t>
  </si>
  <si>
    <t>Chi giáo dục, đào tạo và dạy nghề</t>
  </si>
  <si>
    <t>Chi y tế</t>
  </si>
  <si>
    <t>Chi văn hóa thông tin</t>
  </si>
  <si>
    <t>Chi thể dục thể thao</t>
  </si>
  <si>
    <t>Chi đảm bảo xã hội</t>
  </si>
  <si>
    <t>Chi sự nghiệp môi trường</t>
  </si>
  <si>
    <t>Chi sự nghiệp kinh tế</t>
  </si>
  <si>
    <t>Chi quản lý hành chính</t>
  </si>
  <si>
    <t>Chi bổ sung cho ngân sách cấp dưới</t>
  </si>
  <si>
    <t>VII</t>
  </si>
  <si>
    <t>Chia ra</t>
  </si>
  <si>
    <t>Vốn sự nghiệp</t>
  </si>
  <si>
    <t>Chương trình mục tiêu quốc gia</t>
  </si>
  <si>
    <t>Chương trình giảm nghèo bền vững</t>
  </si>
  <si>
    <t>Chương trình việc làm và dạy nghề</t>
  </si>
  <si>
    <t>Tổng thu NSNN trên địa bàn huyện theo phân cấp</t>
  </si>
  <si>
    <t>Tổng chi cân đối ngân sách huyện</t>
  </si>
  <si>
    <t>Bổ sung từ ngân sách cấp tỉnh cho ngân sách cấp huyện</t>
  </si>
  <si>
    <t>Tổng số</t>
  </si>
  <si>
    <t>Bổ sung cân đối</t>
  </si>
  <si>
    <t>Bổ sung có mục tiêu</t>
  </si>
  <si>
    <t>Thành phố Phan Rang - Tháp Chàm</t>
  </si>
  <si>
    <t>Huyện Ninh Phước</t>
  </si>
  <si>
    <t>Huyện Ninh Hải</t>
  </si>
  <si>
    <t>Huyện Ninh Sơn</t>
  </si>
  <si>
    <t>Huyện Thuận Nam</t>
  </si>
  <si>
    <t>Huyện Thuận Bắc</t>
  </si>
  <si>
    <t>Huyện Bác Ái</t>
  </si>
  <si>
    <t>CÂN ĐỐI DỰ TOÁN NGÂN SÁCH ĐỊA PHƯƠNG NĂM 2014</t>
  </si>
  <si>
    <t>Dự toán</t>
  </si>
  <si>
    <t>Thu hải quan</t>
  </si>
  <si>
    <t>Thu quản lý qua ngân sách nhà nước</t>
  </si>
  <si>
    <t>- Bổ sung nguồn cải cách tiền lương</t>
  </si>
  <si>
    <t xml:space="preserve">Thu chuyển nguồn ngân sách năm trước </t>
  </si>
  <si>
    <t>Chi trả nợ (cả gốc và lãi) các khoản tiền huy động đầu tư theo Khoản 3 Điều 8 của Luật NSNN</t>
  </si>
  <si>
    <t>Dự phòng</t>
  </si>
  <si>
    <t>Chi từ nguồn thu để lại quản lý qua ngân sách nhà nước</t>
  </si>
  <si>
    <t>Trong đó: chi đầu tư từ nguồn thu xổ số kiến thiết</t>
  </si>
  <si>
    <t>Chi từ nguồn hỗ trợ có mục tiêu, chương trình mục tiêu, dự án</t>
  </si>
  <si>
    <t>CÂN ĐỐI DỰ TOÁN NGÂN SÁCH CẤP TỈNH VÀ NGÂN SÁCH CỦA HUYỆN, THÀNH PHỐ THUỘC TỈNH NĂM 2014</t>
  </si>
  <si>
    <t>Thu để lại quản lý qua ngân sách nhà nước</t>
  </si>
  <si>
    <t>Bổ sung cho ngân sách huyện, thành phố thuộc tỉnh</t>
  </si>
  <si>
    <t>Chi chuyển nguồn ngân sách năm sau</t>
  </si>
  <si>
    <t>Thu ngân sách hưởng theo phân cấp:</t>
  </si>
  <si>
    <t>Thu bổ sung từ ngân sách cấp tỉnh:</t>
  </si>
  <si>
    <t>DỰ TOÁN THU NGÂN SÁCH NHÀ NƯỚC NĂM 2014</t>
  </si>
  <si>
    <t>DỰ TOÁN CHI NGÂN SÁCH ĐỊA PHƯƠNG NĂM 2014</t>
  </si>
  <si>
    <t>Chi đầu tư phát triển từ nguồn xổ số kiến thiết</t>
  </si>
  <si>
    <t>Chi từ nguồn bổ sung có mục tiêu từ ngân sách trung ương</t>
  </si>
  <si>
    <t>DỰ TOÁN CHI NGÂN SÁCH CẤP TỈNH THEO TỪNG LĨNH VỰC NĂM 2014</t>
  </si>
  <si>
    <t>Chi khoa học và công nghệ</t>
  </si>
  <si>
    <t>Chi phát thanh truyền hình</t>
  </si>
  <si>
    <t>Chi trợ giá các mặt hàng chính sách</t>
  </si>
  <si>
    <t>Giữ nguồn tăng lương và tăng biên chế</t>
  </si>
  <si>
    <t>Chi bổ sung quỹ dự trữ tài chính địa phương</t>
  </si>
  <si>
    <t>DỰ TOÁN CHI NGÂN SÁCH CHO CÁC DỰ ÁN CHƯƠNG TRÌNH MỤC TIÊU QUỐC GIA VÀ CÁC MỤC TIÊU NHIỆM VỤ KHÁC DO ĐỊA PHƯƠNG THỰC HIỆN NĂM 2014</t>
  </si>
  <si>
    <t>Vốn xây dựng cơ bản tập trung</t>
  </si>
  <si>
    <t>Vốn hỗ trợ có mục tiêu</t>
  </si>
  <si>
    <t>II.1</t>
  </si>
  <si>
    <t>Vốn trong nước</t>
  </si>
  <si>
    <t>Chương trình phát triển kinh tế - xã hội các vùng</t>
  </si>
  <si>
    <t>Hỗ trợ đầu tư tỉnh, huyện mới tách</t>
  </si>
  <si>
    <t>Hỗ trợ dự án cấp bách theo Quyết định của Lãnh đạo Đảng, Nhà nước</t>
  </si>
  <si>
    <t>Chương trình Hạ tầng du lịch</t>
  </si>
  <si>
    <t>Chương trình củng cố, nâng cấp hệ thống đê sông, đê biển</t>
  </si>
  <si>
    <t>Chương trình giống cây trồng vật nuôi, giống thủy sản</t>
  </si>
  <si>
    <t>Hạ tầng Thủy sản</t>
  </si>
  <si>
    <t>Chương trình 193</t>
  </si>
  <si>
    <t>Bảo vệ và phát triển rừng</t>
  </si>
  <si>
    <t>Hỗ trợ y tế tỉnh, huyện</t>
  </si>
  <si>
    <t>Hỗ trợ Trung tâm giáo dục lao động xã hội</t>
  </si>
  <si>
    <t>Hỗ trợ cụm công nghiệp</t>
  </si>
  <si>
    <t>Chương trình hỗ trợ đất ở, đất sản xuất, nước sinh hoạt cho hộ đồng bào dân tộc thiểu số nghèo và hộ nghèo ở xã, thôn, bản đặc biệt khó khăn</t>
  </si>
  <si>
    <t>II.2</t>
  </si>
  <si>
    <t>Vốn ngoài nước</t>
  </si>
  <si>
    <t>- Chương trình đảm bảo chất lượng giáo dục trường học (SEQAP)</t>
  </si>
  <si>
    <t>Vốn xổ số kiến thiết</t>
  </si>
  <si>
    <t>Chương trình nước sạch và vệ sinh môi trường nông thôn</t>
  </si>
  <si>
    <t>Chương trình y tế</t>
  </si>
  <si>
    <t>Chương trình dân số và kế hoạch hóa gia đình</t>
  </si>
  <si>
    <t>Chương trình vệ sinh an toàn thực phẩm</t>
  </si>
  <si>
    <t>Chương trình văn hóa</t>
  </si>
  <si>
    <t>Chương trình giáo dục và đào tạo</t>
  </si>
  <si>
    <t>Chương trình phòng, chống ma túy</t>
  </si>
  <si>
    <t>Chương trình phòng, chống tội phạm</t>
  </si>
  <si>
    <t>Chương trình xây dựng nông thôn mới</t>
  </si>
  <si>
    <t>Chương trình phòng, chống HIV/AIDS</t>
  </si>
  <si>
    <t xml:space="preserve">Vốn ngoài nước </t>
  </si>
  <si>
    <t>Vốn đối ứng thực hiện chương trình đảm bảo chất lượng giáo dục trường học</t>
  </si>
  <si>
    <t>Chương trình quốc gia về bình đẳng giới</t>
  </si>
  <si>
    <t>Đề án đào tạo, bồi dưỡng cán bộ Hội Liên hiệp phụ nữ các cấp giai đoạn 2013-2017</t>
  </si>
  <si>
    <t>Chương trình quốc gia an toàn lao động, vệ sinh lao động</t>
  </si>
  <si>
    <t>Chương trình quốc gia bảo vệ trẻ em</t>
  </si>
  <si>
    <t>Chương trình hành động phòng, chống mại dâm</t>
  </si>
  <si>
    <t>Đề án trợ giúp xã hội và phục hồi chức năng cho người tâm thần, người rối nhiễu tâm trí</t>
  </si>
  <si>
    <t>Đề án phát triển nghề công tác xã hội</t>
  </si>
  <si>
    <t>Hỗ trợ thành lập mới, đào tạo, bồi dưỡng cán bộ hợp tác xã</t>
  </si>
  <si>
    <t>Kinh phí bảo vệ rừng và khoanh nuôi tái sinh rừng</t>
  </si>
  <si>
    <t>Chương trình định canh định cư</t>
  </si>
  <si>
    <t>Kinh phí học bổng học sinh dân tộc nội trú</t>
  </si>
  <si>
    <t>Kinh phí hỗ trợ học sinh bán trú và trường phổ thông dân tộc bán trú</t>
  </si>
  <si>
    <t>Hỗ trợ kinh phí thực hiện đối với đảng bộ cơ sở</t>
  </si>
  <si>
    <t>Hỗ trợ kinh phí mua trang phục cho dân quân tự vệ</t>
  </si>
  <si>
    <t>Hỗ trợ kinh phí mua trang phục theo Pháp lệnh công an xã</t>
  </si>
  <si>
    <t>Hỗ trợ kinh phí xây dựng đời sống văn hóa khu dân cư</t>
  </si>
  <si>
    <t>Hỗ trợ kinh phí sáng tạo tác phẩm của Hội VHNT và Hội Nhà báo địa phương</t>
  </si>
  <si>
    <t>Hỗ trợ kinh phí giáo viên mầm non</t>
  </si>
  <si>
    <t>Hỗ trợ kinh phí tiền ăn trưa mẫu giáo 3 - 5 tuổi</t>
  </si>
  <si>
    <t>Hỗ trợ kinh phí Luật Người cao tuổi, Luật người khuyết tật và chính sách đối với các đối tượng bảo trợ xã hội</t>
  </si>
  <si>
    <t>Hỗ trợ thực hiện chính sách trợ giá trực tiếp cho người dân tộc thiểu số nghèo</t>
  </si>
  <si>
    <t>Hỗ trợ chi phí học tập và miễn giảm học phí theo Nghị định 49/2010/NĐ-CP, Nghị định 74/2013/NĐ-CP</t>
  </si>
  <si>
    <t>Hỗ trợ một số chế độ, chính sách và nhiệm vụ do NSĐP đảm bảo nhưng không đủ nguồn</t>
  </si>
  <si>
    <t>DỰ TOÁN THU, CHI NGÂN SÁCH CỦA CÁC HUYỆN, THÀNH PHỐ THUỘC TỈNH NĂM 2014</t>
  </si>
  <si>
    <t>Tên các huyện, thành phố</t>
  </si>
  <si>
    <t>Bổ sung nguồn CCTL</t>
  </si>
  <si>
    <t>TỶ LỆ PHẦN TRĂM (%) PHÂN CHIA CÁC KHOẢN THU CHO NGÂN SÁCH TỪNG HUYỆN, THÀNH PHỐ THUỘC TỈNH NĂM 2014</t>
  </si>
  <si>
    <t>Đơn vị: %</t>
  </si>
  <si>
    <t>Chi tiết theo các khoản thu (theo phân cấp của tỉnh)</t>
  </si>
  <si>
    <t>Huyện, thành phố thuộc tỉnh (kể cả xã, phường, thị trấn)</t>
  </si>
  <si>
    <t>- Thu sự nghiệp</t>
  </si>
  <si>
    <t>Thu từ khu vực công thương nghiệp ngoài quốc doanh</t>
  </si>
  <si>
    <t>Thuế nhà đất</t>
  </si>
  <si>
    <t>Thu phí, lệ phí huyện, thành phố (gồm xã, phường, thị trấn) thu</t>
  </si>
  <si>
    <t>Thu tiền sử dụng đất (các dự án do cấp huyện, thành phố làm chủ đầu tư)</t>
  </si>
  <si>
    <t>Thu khác ngân sách (cấp huyện thu)</t>
  </si>
  <si>
    <t>UBND TỈNH NINH THUẬN</t>
  </si>
  <si>
    <t>Vốn 
đầu tư</t>
  </si>
  <si>
    <t>Vốn 
sự nghiệp</t>
  </si>
  <si>
    <t>Chi thường xuyên, trong đó:</t>
  </si>
</sst>
</file>

<file path=xl/styles.xml><?xml version="1.0" encoding="utf-8"?>
<styleSheet xmlns="http://schemas.openxmlformats.org/spreadsheetml/2006/main">
  <numFmts count="2">
    <numFmt numFmtId="164" formatCode="_(* #,##0.00_);_(* \(#,##0.00\);_(* &quot;-&quot;??_);_(@_)"/>
    <numFmt numFmtId="165" formatCode="_(* #,##0_);_(* \(#,##0\);_(* &quot;-&quot;??_);_(@_)"/>
  </numFmts>
  <fonts count="12">
    <font>
      <sz val="11"/>
      <color theme="1"/>
      <name val="Arial"/>
      <family val="2"/>
      <scheme val="minor"/>
    </font>
    <font>
      <b/>
      <sz val="13"/>
      <color theme="1"/>
      <name val="Times New Roman"/>
      <family val="1"/>
      <charset val="163"/>
      <scheme val="major"/>
    </font>
    <font>
      <b/>
      <sz val="14"/>
      <color theme="1"/>
      <name val="Times New Roman"/>
      <family val="1"/>
      <charset val="163"/>
      <scheme val="major"/>
    </font>
    <font>
      <i/>
      <sz val="12"/>
      <color theme="1"/>
      <name val="Times New Roman"/>
      <family val="1"/>
      <charset val="163"/>
      <scheme val="major"/>
    </font>
    <font>
      <sz val="12"/>
      <color theme="1"/>
      <name val="Times New Roman"/>
      <family val="1"/>
      <charset val="163"/>
      <scheme val="major"/>
    </font>
    <font>
      <i/>
      <sz val="11"/>
      <color theme="1"/>
      <name val="Arial"/>
      <family val="2"/>
      <scheme val="minor"/>
    </font>
    <font>
      <b/>
      <sz val="12"/>
      <color theme="1"/>
      <name val="Times New Roman"/>
      <family val="1"/>
      <charset val="163"/>
      <scheme val="major"/>
    </font>
    <font>
      <sz val="14"/>
      <color theme="1"/>
      <name val="Times New Roman"/>
      <family val="1"/>
      <charset val="163"/>
      <scheme val="major"/>
    </font>
    <font>
      <sz val="14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i/>
      <sz val="12"/>
      <name val="Times New Roman"/>
      <family val="1"/>
      <charset val="163"/>
    </font>
    <font>
      <b/>
      <sz val="12"/>
      <color theme="1"/>
      <name val="Times New Roman"/>
      <family val="1"/>
      <scheme val="maj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164" fontId="9" fillId="0" borderId="0" applyFont="0" applyFill="0" applyBorder="0" applyAlignment="0" applyProtection="0"/>
  </cellStyleXfs>
  <cellXfs count="12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3" fontId="1" fillId="0" borderId="0" xfId="0" applyNumberFormat="1" applyFont="1" applyAlignment="1">
      <alignment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5" fillId="0" borderId="0" xfId="0" applyFont="1" applyAlignment="1">
      <alignment horizontal="right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/>
    </xf>
    <xf numFmtId="0" fontId="6" fillId="0" borderId="0" xfId="0" applyFont="1"/>
    <xf numFmtId="0" fontId="4" fillId="0" borderId="0" xfId="0" applyFont="1" applyAlignment="1">
      <alignment vertical="center" wrapText="1"/>
    </xf>
    <xf numFmtId="3" fontId="4" fillId="0" borderId="0" xfId="0" applyNumberFormat="1" applyFont="1" applyAlignment="1">
      <alignment vertical="center"/>
    </xf>
    <xf numFmtId="0" fontId="6" fillId="0" borderId="0" xfId="0" applyFont="1" applyAlignment="1">
      <alignment vertical="center" wrapText="1"/>
    </xf>
    <xf numFmtId="0" fontId="7" fillId="0" borderId="0" xfId="0" applyFont="1"/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/>
    <xf numFmtId="0" fontId="7" fillId="0" borderId="2" xfId="0" applyFont="1" applyBorder="1" applyAlignment="1">
      <alignment vertical="center" wrapText="1"/>
    </xf>
    <xf numFmtId="3" fontId="7" fillId="0" borderId="2" xfId="0" applyNumberFormat="1" applyFont="1" applyBorder="1" applyAlignment="1">
      <alignment vertical="center"/>
    </xf>
    <xf numFmtId="0" fontId="7" fillId="0" borderId="3" xfId="0" applyFont="1" applyBorder="1" applyAlignment="1">
      <alignment vertical="center" wrapText="1"/>
    </xf>
    <xf numFmtId="3" fontId="7" fillId="0" borderId="3" xfId="0" applyNumberFormat="1" applyFont="1" applyBorder="1" applyAlignment="1">
      <alignment vertical="center"/>
    </xf>
    <xf numFmtId="0" fontId="7" fillId="0" borderId="3" xfId="0" quotePrefix="1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3" fontId="7" fillId="0" borderId="5" xfId="0" applyNumberFormat="1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/>
    <xf numFmtId="0" fontId="3" fillId="0" borderId="0" xfId="0" applyFont="1"/>
    <xf numFmtId="0" fontId="3" fillId="0" borderId="4" xfId="0" applyFont="1" applyBorder="1" applyAlignment="1">
      <alignment vertical="center" wrapText="1"/>
    </xf>
    <xf numFmtId="3" fontId="3" fillId="0" borderId="4" xfId="0" applyNumberFormat="1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3" fontId="6" fillId="0" borderId="6" xfId="0" applyNumberFormat="1" applyFont="1" applyBorder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3" fontId="4" fillId="0" borderId="0" xfId="0" applyNumberFormat="1" applyFont="1" applyAlignment="1">
      <alignment horizontal="right" vertical="center"/>
    </xf>
    <xf numFmtId="3" fontId="7" fillId="0" borderId="1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3" fontId="7" fillId="0" borderId="2" xfId="0" applyNumberFormat="1" applyFont="1" applyBorder="1" applyAlignment="1">
      <alignment horizontal="right" vertical="center"/>
    </xf>
    <xf numFmtId="3" fontId="7" fillId="0" borderId="3" xfId="0" applyNumberFormat="1" applyFont="1" applyBorder="1" applyAlignment="1">
      <alignment horizontal="right" vertical="center"/>
    </xf>
    <xf numFmtId="3" fontId="7" fillId="0" borderId="5" xfId="0" applyNumberFormat="1" applyFont="1" applyBorder="1" applyAlignment="1">
      <alignment horizontal="right" vertical="center"/>
    </xf>
    <xf numFmtId="0" fontId="7" fillId="0" borderId="9" xfId="0" applyFont="1" applyBorder="1" applyAlignment="1">
      <alignment vertical="center" wrapText="1"/>
    </xf>
    <xf numFmtId="3" fontId="7" fillId="0" borderId="9" xfId="0" applyNumberFormat="1" applyFont="1" applyBorder="1" applyAlignment="1">
      <alignment horizontal="right" vertical="center"/>
    </xf>
    <xf numFmtId="3" fontId="7" fillId="0" borderId="9" xfId="0" applyNumberFormat="1" applyFont="1" applyBorder="1" applyAlignment="1">
      <alignment vertical="center"/>
    </xf>
    <xf numFmtId="0" fontId="0" fillId="0" borderId="0" xfId="0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Border="1" applyAlignment="1">
      <alignment horizontal="right" vertical="center" wrapText="1"/>
    </xf>
    <xf numFmtId="0" fontId="6" fillId="0" borderId="6" xfId="0" applyFont="1" applyBorder="1" applyAlignment="1">
      <alignment vertical="center" wrapText="1"/>
    </xf>
    <xf numFmtId="3" fontId="6" fillId="0" borderId="6" xfId="0" applyNumberFormat="1" applyFont="1" applyBorder="1" applyAlignment="1">
      <alignment vertical="center"/>
    </xf>
    <xf numFmtId="0" fontId="4" fillId="0" borderId="4" xfId="0" applyFont="1" applyBorder="1" applyAlignment="1">
      <alignment vertical="center" wrapText="1"/>
    </xf>
    <xf numFmtId="3" fontId="4" fillId="0" borderId="4" xfId="0" applyNumberFormat="1" applyFont="1" applyBorder="1" applyAlignment="1">
      <alignment vertical="center"/>
    </xf>
    <xf numFmtId="0" fontId="6" fillId="0" borderId="4" xfId="0" applyFont="1" applyBorder="1" applyAlignment="1">
      <alignment vertical="center" wrapText="1"/>
    </xf>
    <xf numFmtId="3" fontId="6" fillId="0" borderId="4" xfId="0" applyNumberFormat="1" applyFont="1" applyBorder="1" applyAlignment="1">
      <alignment vertical="center"/>
    </xf>
    <xf numFmtId="0" fontId="4" fillId="0" borderId="4" xfId="0" quotePrefix="1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3" fontId="4" fillId="0" borderId="10" xfId="0" applyNumberFormat="1" applyFont="1" applyBorder="1" applyAlignment="1">
      <alignment vertical="center"/>
    </xf>
    <xf numFmtId="165" fontId="10" fillId="0" borderId="0" xfId="1" applyNumberFormat="1" applyFont="1" applyAlignment="1">
      <alignment horizontal="right"/>
    </xf>
    <xf numFmtId="0" fontId="6" fillId="0" borderId="10" xfId="0" applyFont="1" applyBorder="1" applyAlignment="1">
      <alignment vertical="center" wrapText="1"/>
    </xf>
    <xf numFmtId="3" fontId="6" fillId="0" borderId="10" xfId="0" applyNumberFormat="1" applyFont="1" applyBorder="1" applyAlignment="1">
      <alignment vertical="center"/>
    </xf>
    <xf numFmtId="0" fontId="6" fillId="0" borderId="6" xfId="0" applyFont="1" applyBorder="1"/>
    <xf numFmtId="0" fontId="6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vertical="center" wrapText="1"/>
    </xf>
    <xf numFmtId="3" fontId="11" fillId="0" borderId="4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3" fontId="6" fillId="0" borderId="0" xfId="0" applyNumberFormat="1" applyFont="1" applyBorder="1" applyAlignment="1">
      <alignment horizontal="center" vertical="center" wrapText="1"/>
    </xf>
    <xf numFmtId="3" fontId="6" fillId="0" borderId="0" xfId="0" applyNumberFormat="1" applyFont="1" applyBorder="1" applyAlignment="1">
      <alignment horizontal="center" vertical="center"/>
    </xf>
    <xf numFmtId="3" fontId="6" fillId="0" borderId="0" xfId="0" applyNumberFormat="1" applyFont="1" applyBorder="1" applyAlignment="1">
      <alignment horizontal="right" vertical="center" wrapText="1"/>
    </xf>
    <xf numFmtId="3" fontId="4" fillId="0" borderId="0" xfId="0" applyNumberFormat="1" applyFont="1" applyBorder="1" applyAlignment="1">
      <alignment horizontal="right" vertical="center" wrapText="1"/>
    </xf>
    <xf numFmtId="3" fontId="6" fillId="0" borderId="0" xfId="0" applyNumberFormat="1" applyFont="1" applyBorder="1" applyAlignment="1">
      <alignment horizontal="right" vertical="center"/>
    </xf>
    <xf numFmtId="3" fontId="4" fillId="0" borderId="0" xfId="0" applyNumberFormat="1" applyFont="1" applyBorder="1" applyAlignment="1">
      <alignment horizontal="right" vertical="center"/>
    </xf>
    <xf numFmtId="3" fontId="6" fillId="0" borderId="6" xfId="0" applyNumberFormat="1" applyFont="1" applyBorder="1" applyAlignment="1">
      <alignment horizontal="right" vertical="center" wrapText="1"/>
    </xf>
    <xf numFmtId="0" fontId="6" fillId="0" borderId="4" xfId="0" applyFont="1" applyBorder="1" applyAlignment="1">
      <alignment horizontal="left" vertical="center" wrapText="1"/>
    </xf>
    <xf numFmtId="3" fontId="6" fillId="0" borderId="4" xfId="0" applyNumberFormat="1" applyFont="1" applyBorder="1" applyAlignment="1">
      <alignment horizontal="right" vertical="center" wrapText="1"/>
    </xf>
    <xf numFmtId="0" fontId="4" fillId="0" borderId="4" xfId="0" applyFont="1" applyBorder="1" applyAlignment="1">
      <alignment horizontal="left" vertical="center" wrapText="1"/>
    </xf>
    <xf numFmtId="3" fontId="4" fillId="0" borderId="4" xfId="0" applyNumberFormat="1" applyFont="1" applyBorder="1" applyAlignment="1">
      <alignment horizontal="right" vertical="center" wrapText="1"/>
    </xf>
    <xf numFmtId="0" fontId="4" fillId="0" borderId="4" xfId="0" quotePrefix="1" applyFont="1" applyBorder="1" applyAlignment="1">
      <alignment horizontal="left" vertical="center" wrapText="1"/>
    </xf>
    <xf numFmtId="3" fontId="6" fillId="0" borderId="4" xfId="0" applyNumberFormat="1" applyFont="1" applyBorder="1" applyAlignment="1">
      <alignment horizontal="right" vertical="center"/>
    </xf>
    <xf numFmtId="3" fontId="4" fillId="0" borderId="4" xfId="0" applyNumberFormat="1" applyFont="1" applyBorder="1" applyAlignment="1">
      <alignment horizontal="right" vertical="center"/>
    </xf>
    <xf numFmtId="3" fontId="4" fillId="0" borderId="10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6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0" fontId="0" fillId="0" borderId="8" xfId="0" applyBorder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7" fillId="0" borderId="1" xfId="0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right" vertical="center" wrapText="1"/>
    </xf>
    <xf numFmtId="0" fontId="3" fillId="0" borderId="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6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?><Relationships xmlns="http://schemas.openxmlformats.org/package/2006/relationships"><Relationship Target="worksheets/sheet8.xml" Type="http://schemas.openxmlformats.org/officeDocument/2006/relationships/worksheet" Id="rId8"></Relationship><Relationship Target="worksheets/sheet3.xml" Type="http://schemas.openxmlformats.org/officeDocument/2006/relationships/worksheet" Id="rId3"></Relationship><Relationship Target="worksheets/sheet7.xml" Type="http://schemas.openxmlformats.org/officeDocument/2006/relationships/worksheet" Id="rId7"></Relationship><Relationship Target="calcChain.xml" Type="http://schemas.openxmlformats.org/officeDocument/2006/relationships/calcChain" Id="rId12"></Relationship><Relationship Target="worksheets/sheet2.xml" Type="http://schemas.openxmlformats.org/officeDocument/2006/relationships/worksheet" Id="rId2"></Relationship><Relationship Target="worksheets/sheet1.xml" Type="http://schemas.openxmlformats.org/officeDocument/2006/relationships/worksheet" Id="rId1"></Relationship><Relationship Target="worksheets/sheet6.xml" Type="http://schemas.openxmlformats.org/officeDocument/2006/relationships/worksheet" Id="rId6"></Relationship><Relationship Target="sharedStrings.xml" Type="http://schemas.openxmlformats.org/officeDocument/2006/relationships/sharedStrings" Id="rId11"></Relationship><Relationship Target="worksheets/sheet5.xml" Type="http://schemas.openxmlformats.org/officeDocument/2006/relationships/worksheet" Id="rId5"></Relationship><Relationship Target="styles.xml" Type="http://schemas.openxmlformats.org/officeDocument/2006/relationships/styles" Id="rId10"></Relationship><Relationship Target="worksheets/sheet4.xml" Type="http://schemas.openxmlformats.org/officeDocument/2006/relationships/worksheet" Id="rId4"></Relationship><Relationship Target="theme/theme1.xml" Type="http://schemas.openxmlformats.org/officeDocument/2006/relationships/theme" Id="rId9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50"/>
  </sheetPr>
  <dimension ref="A1:C32"/>
  <sheetViews>
    <sheetView tabSelected="1" workbookViewId="0"/>
  </sheetViews>
  <sheetFormatPr defaultColWidth="9" defaultRowHeight="15.75"/>
  <cols>
    <col min="1" max="1" width="5.625" style="7" customWidth="1"/>
    <col min="2" max="2" width="62.25" style="13" customWidth="1"/>
    <col min="3" max="3" width="17.125" style="14" customWidth="1"/>
    <col min="4" max="16384" width="9" style="7"/>
  </cols>
  <sheetData>
    <row r="1" spans="1:3" s="1" customFormat="1" ht="16.5">
      <c r="A1" s="1" t="s">
        <v>209</v>
      </c>
      <c r="B1" s="2"/>
      <c r="C1" s="3"/>
    </row>
    <row r="2" spans="1:3" s="1" customFormat="1" ht="16.5">
      <c r="B2" s="2"/>
      <c r="C2" s="3"/>
    </row>
    <row r="3" spans="1:3" s="19" customFormat="1" ht="18.75" customHeight="1">
      <c r="A3" s="93" t="s">
        <v>112</v>
      </c>
      <c r="B3" s="93"/>
      <c r="C3" s="93"/>
    </row>
    <row r="4" spans="1:3" ht="15.75" customHeight="1">
      <c r="A4" s="6"/>
      <c r="B4" s="4"/>
      <c r="C4" s="4"/>
    </row>
    <row r="5" spans="1:3" ht="15.75" customHeight="1">
      <c r="B5" s="8"/>
      <c r="C5" s="63" t="s">
        <v>0</v>
      </c>
    </row>
    <row r="6" spans="1:3" ht="35.25" customHeight="1">
      <c r="A6" s="9" t="s">
        <v>1</v>
      </c>
      <c r="B6" s="27" t="s">
        <v>2</v>
      </c>
      <c r="C6" s="11" t="s">
        <v>113</v>
      </c>
    </row>
    <row r="7" spans="1:3" s="12" customFormat="1">
      <c r="A7" s="34" t="s">
        <v>6</v>
      </c>
      <c r="B7" s="54" t="s">
        <v>56</v>
      </c>
      <c r="C7" s="55">
        <f>SUM(C8:C12)</f>
        <v>1500000</v>
      </c>
    </row>
    <row r="8" spans="1:3">
      <c r="A8" s="71">
        <v>1</v>
      </c>
      <c r="B8" s="56" t="s">
        <v>57</v>
      </c>
      <c r="C8" s="57">
        <v>1100000</v>
      </c>
    </row>
    <row r="9" spans="1:3">
      <c r="A9" s="71">
        <v>2</v>
      </c>
      <c r="B9" s="56" t="s">
        <v>58</v>
      </c>
      <c r="C9" s="57">
        <v>0</v>
      </c>
    </row>
    <row r="10" spans="1:3">
      <c r="A10" s="71">
        <v>3</v>
      </c>
      <c r="B10" s="56" t="s">
        <v>114</v>
      </c>
      <c r="C10" s="57">
        <v>300000</v>
      </c>
    </row>
    <row r="11" spans="1:3">
      <c r="A11" s="71">
        <v>4</v>
      </c>
      <c r="B11" s="56" t="s">
        <v>59</v>
      </c>
      <c r="C11" s="57">
        <v>0</v>
      </c>
    </row>
    <row r="12" spans="1:3">
      <c r="A12" s="71">
        <v>5</v>
      </c>
      <c r="B12" s="56" t="s">
        <v>115</v>
      </c>
      <c r="C12" s="57">
        <v>100000</v>
      </c>
    </row>
    <row r="13" spans="1:3" s="31" customFormat="1">
      <c r="A13" s="115"/>
      <c r="B13" s="32" t="s">
        <v>49</v>
      </c>
      <c r="C13" s="33">
        <v>55000</v>
      </c>
    </row>
    <row r="14" spans="1:3" s="12" customFormat="1">
      <c r="A14" s="76" t="s">
        <v>11</v>
      </c>
      <c r="B14" s="58" t="s">
        <v>60</v>
      </c>
      <c r="C14" s="59">
        <f>SUM(C15,C18,C22)</f>
        <v>3274193</v>
      </c>
    </row>
    <row r="15" spans="1:3">
      <c r="A15" s="71">
        <v>1</v>
      </c>
      <c r="B15" s="56" t="s">
        <v>61</v>
      </c>
      <c r="C15" s="57">
        <f>SUM(C16:C17)</f>
        <v>1100000</v>
      </c>
    </row>
    <row r="16" spans="1:3">
      <c r="A16" s="71"/>
      <c r="B16" s="60" t="s">
        <v>62</v>
      </c>
      <c r="C16" s="57">
        <v>180437</v>
      </c>
    </row>
    <row r="17" spans="1:3">
      <c r="A17" s="71"/>
      <c r="B17" s="60" t="s">
        <v>63</v>
      </c>
      <c r="C17" s="57">
        <v>919563</v>
      </c>
    </row>
    <row r="18" spans="1:3">
      <c r="A18" s="71">
        <v>2</v>
      </c>
      <c r="B18" s="56" t="s">
        <v>54</v>
      </c>
      <c r="C18" s="57">
        <f>SUM(C19:C21)</f>
        <v>2074193</v>
      </c>
    </row>
    <row r="19" spans="1:3">
      <c r="A19" s="71"/>
      <c r="B19" s="60" t="s">
        <v>64</v>
      </c>
      <c r="C19" s="57">
        <v>966827</v>
      </c>
    </row>
    <row r="20" spans="1:3">
      <c r="A20" s="71"/>
      <c r="B20" s="60" t="s">
        <v>65</v>
      </c>
      <c r="C20" s="57">
        <v>739540</v>
      </c>
    </row>
    <row r="21" spans="1:3">
      <c r="A21" s="71"/>
      <c r="B21" s="60" t="s">
        <v>116</v>
      </c>
      <c r="C21" s="57">
        <v>367826</v>
      </c>
    </row>
    <row r="22" spans="1:3">
      <c r="A22" s="71">
        <v>3</v>
      </c>
      <c r="B22" s="56" t="s">
        <v>115</v>
      </c>
      <c r="C22" s="57">
        <f>C12</f>
        <v>100000</v>
      </c>
    </row>
    <row r="23" spans="1:3">
      <c r="A23" s="71">
        <v>4</v>
      </c>
      <c r="B23" s="56" t="s">
        <v>117</v>
      </c>
      <c r="C23" s="57">
        <v>0</v>
      </c>
    </row>
    <row r="24" spans="1:3" s="12" customFormat="1">
      <c r="A24" s="76" t="s">
        <v>13</v>
      </c>
      <c r="B24" s="58" t="s">
        <v>67</v>
      </c>
      <c r="C24" s="59">
        <f>SUM(C25,C26,C27,C28,C29,C30,C32)</f>
        <v>3274193</v>
      </c>
    </row>
    <row r="25" spans="1:3">
      <c r="A25" s="71">
        <v>1</v>
      </c>
      <c r="B25" s="56" t="s">
        <v>7</v>
      </c>
      <c r="C25" s="57">
        <f>189200-C27</f>
        <v>102050</v>
      </c>
    </row>
    <row r="26" spans="1:3">
      <c r="A26" s="71">
        <v>2</v>
      </c>
      <c r="B26" s="56" t="s">
        <v>12</v>
      </c>
      <c r="C26" s="57">
        <f>2156408+41195</f>
        <v>2197603</v>
      </c>
    </row>
    <row r="27" spans="1:3" ht="31.5">
      <c r="A27" s="71">
        <v>3</v>
      </c>
      <c r="B27" s="56" t="s">
        <v>118</v>
      </c>
      <c r="C27" s="57">
        <v>87150</v>
      </c>
    </row>
    <row r="28" spans="1:3">
      <c r="A28" s="71">
        <v>4</v>
      </c>
      <c r="B28" s="56" t="s">
        <v>68</v>
      </c>
      <c r="C28" s="57">
        <v>1000</v>
      </c>
    </row>
    <row r="29" spans="1:3">
      <c r="A29" s="71">
        <v>5</v>
      </c>
      <c r="B29" s="56" t="s">
        <v>119</v>
      </c>
      <c r="C29" s="57">
        <v>46850</v>
      </c>
    </row>
    <row r="30" spans="1:3">
      <c r="A30" s="71">
        <v>6</v>
      </c>
      <c r="B30" s="56" t="s">
        <v>120</v>
      </c>
      <c r="C30" s="57">
        <f>C12</f>
        <v>100000</v>
      </c>
    </row>
    <row r="31" spans="1:3">
      <c r="A31" s="68"/>
      <c r="B31" s="56" t="s">
        <v>121</v>
      </c>
      <c r="C31" s="57">
        <f>C13</f>
        <v>55000</v>
      </c>
    </row>
    <row r="32" spans="1:3">
      <c r="A32" s="116">
        <v>7</v>
      </c>
      <c r="B32" s="61" t="s">
        <v>122</v>
      </c>
      <c r="C32" s="62">
        <v>739540</v>
      </c>
    </row>
  </sheetData>
  <mergeCells count="1">
    <mergeCell ref="A3:C3"/>
  </mergeCells>
  <pageMargins left="0.79" right="0.27" top="0.94" bottom="0.53" header="0.46" footer="0.24"/>
  <pageSetup paperSize="9" orientation="portrait" horizontalDpi="1200" verticalDpi="1200" r:id="rId1"/>
  <headerFooter>
    <oddHeader>&amp;R&amp;"+,thường"&amp;12Mẫu số 10/CKTC-NSĐP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B050"/>
  </sheetPr>
  <dimension ref="A1:C36"/>
  <sheetViews>
    <sheetView workbookViewId="0"/>
  </sheetViews>
  <sheetFormatPr defaultColWidth="9" defaultRowHeight="15.75"/>
  <cols>
    <col min="1" max="1" width="5.625" style="7" customWidth="1"/>
    <col min="2" max="2" width="65.375" style="13" customWidth="1"/>
    <col min="3" max="3" width="17.125" style="14" customWidth="1"/>
    <col min="4" max="16384" width="9" style="7"/>
  </cols>
  <sheetData>
    <row r="1" spans="1:3" s="1" customFormat="1" ht="16.5">
      <c r="A1" s="1" t="s">
        <v>209</v>
      </c>
      <c r="B1" s="2"/>
      <c r="C1" s="3"/>
    </row>
    <row r="2" spans="1:3" s="1" customFormat="1" ht="16.5">
      <c r="B2" s="2"/>
      <c r="C2" s="3"/>
    </row>
    <row r="3" spans="1:3" s="5" customFormat="1" ht="42" customHeight="1">
      <c r="A3" s="93" t="s">
        <v>123</v>
      </c>
      <c r="B3" s="94"/>
      <c r="C3" s="94"/>
    </row>
    <row r="4" spans="1:3">
      <c r="A4" s="95"/>
      <c r="B4" s="94"/>
      <c r="C4" s="94"/>
    </row>
    <row r="6" spans="1:3">
      <c r="A6" s="96" t="s">
        <v>0</v>
      </c>
      <c r="B6" s="97"/>
      <c r="C6" s="97"/>
    </row>
    <row r="7" spans="1:3">
      <c r="A7" s="9" t="s">
        <v>1</v>
      </c>
      <c r="B7" s="10" t="s">
        <v>2</v>
      </c>
      <c r="C7" s="11" t="s">
        <v>113</v>
      </c>
    </row>
    <row r="8" spans="1:3" s="12" customFormat="1">
      <c r="A8" s="34" t="s">
        <v>4</v>
      </c>
      <c r="B8" s="54" t="s">
        <v>69</v>
      </c>
      <c r="C8" s="55"/>
    </row>
    <row r="9" spans="1:3" s="12" customFormat="1">
      <c r="A9" s="76" t="s">
        <v>6</v>
      </c>
      <c r="B9" s="58" t="s">
        <v>70</v>
      </c>
      <c r="C9" s="59">
        <v>2786964</v>
      </c>
    </row>
    <row r="10" spans="1:3">
      <c r="A10" s="71">
        <v>1</v>
      </c>
      <c r="B10" s="56" t="s">
        <v>71</v>
      </c>
      <c r="C10" s="57">
        <v>625171</v>
      </c>
    </row>
    <row r="11" spans="1:3">
      <c r="A11" s="71"/>
      <c r="B11" s="60" t="s">
        <v>72</v>
      </c>
      <c r="C11" s="57">
        <v>116833.90000000002</v>
      </c>
    </row>
    <row r="12" spans="1:3" ht="31.5">
      <c r="A12" s="71"/>
      <c r="B12" s="60" t="s">
        <v>73</v>
      </c>
      <c r="C12" s="57">
        <v>508337.1</v>
      </c>
    </row>
    <row r="13" spans="1:3">
      <c r="A13" s="71">
        <v>2</v>
      </c>
      <c r="B13" s="56" t="s">
        <v>54</v>
      </c>
      <c r="C13" s="57">
        <v>2074193</v>
      </c>
    </row>
    <row r="14" spans="1:3">
      <c r="A14" s="71"/>
      <c r="B14" s="60" t="s">
        <v>64</v>
      </c>
      <c r="C14" s="57">
        <v>966827</v>
      </c>
    </row>
    <row r="15" spans="1:3">
      <c r="A15" s="71"/>
      <c r="B15" s="60" t="s">
        <v>65</v>
      </c>
      <c r="C15" s="57">
        <v>739540</v>
      </c>
    </row>
    <row r="16" spans="1:3">
      <c r="A16" s="71"/>
      <c r="B16" s="60" t="s">
        <v>116</v>
      </c>
      <c r="C16" s="57">
        <v>367826</v>
      </c>
    </row>
    <row r="17" spans="1:3">
      <c r="A17" s="71">
        <v>3</v>
      </c>
      <c r="B17" s="56" t="s">
        <v>124</v>
      </c>
      <c r="C17" s="57">
        <v>87600</v>
      </c>
    </row>
    <row r="18" spans="1:3">
      <c r="A18" s="71">
        <v>4</v>
      </c>
      <c r="B18" s="56" t="s">
        <v>66</v>
      </c>
      <c r="C18" s="57">
        <v>0</v>
      </c>
    </row>
    <row r="19" spans="1:3" s="12" customFormat="1">
      <c r="A19" s="76" t="s">
        <v>11</v>
      </c>
      <c r="B19" s="58" t="s">
        <v>74</v>
      </c>
      <c r="C19" s="59">
        <v>2786964</v>
      </c>
    </row>
    <row r="20" spans="1:3" ht="31.5">
      <c r="A20" s="71">
        <v>1</v>
      </c>
      <c r="B20" s="56" t="s">
        <v>75</v>
      </c>
      <c r="C20" s="57">
        <v>2083936</v>
      </c>
    </row>
    <row r="21" spans="1:3">
      <c r="A21" s="71">
        <v>2</v>
      </c>
      <c r="B21" s="56" t="s">
        <v>125</v>
      </c>
      <c r="C21" s="57">
        <v>703028</v>
      </c>
    </row>
    <row r="22" spans="1:3">
      <c r="A22" s="71"/>
      <c r="B22" s="60" t="s">
        <v>64</v>
      </c>
      <c r="C22" s="57">
        <v>395815</v>
      </c>
    </row>
    <row r="23" spans="1:3">
      <c r="A23" s="71"/>
      <c r="B23" s="60" t="s">
        <v>65</v>
      </c>
      <c r="C23" s="57">
        <v>16306</v>
      </c>
    </row>
    <row r="24" spans="1:3">
      <c r="A24" s="71"/>
      <c r="B24" s="60" t="s">
        <v>116</v>
      </c>
      <c r="C24" s="57">
        <v>290907</v>
      </c>
    </row>
    <row r="25" spans="1:3">
      <c r="A25" s="71">
        <v>3</v>
      </c>
      <c r="B25" s="56" t="s">
        <v>126</v>
      </c>
      <c r="C25" s="57">
        <v>0</v>
      </c>
    </row>
    <row r="26" spans="1:3" s="12" customFormat="1" ht="31.5">
      <c r="A26" s="76" t="s">
        <v>19</v>
      </c>
      <c r="B26" s="58" t="s">
        <v>76</v>
      </c>
      <c r="C26" s="59"/>
    </row>
    <row r="27" spans="1:3" s="12" customFormat="1">
      <c r="A27" s="76" t="s">
        <v>6</v>
      </c>
      <c r="B27" s="58" t="s">
        <v>77</v>
      </c>
      <c r="C27" s="59">
        <v>1190257</v>
      </c>
    </row>
    <row r="28" spans="1:3">
      <c r="A28" s="71">
        <v>1</v>
      </c>
      <c r="B28" s="56" t="s">
        <v>127</v>
      </c>
      <c r="C28" s="57">
        <v>474829</v>
      </c>
    </row>
    <row r="29" spans="1:3">
      <c r="A29" s="71"/>
      <c r="B29" s="60" t="s">
        <v>78</v>
      </c>
      <c r="C29" s="57">
        <v>240553</v>
      </c>
    </row>
    <row r="30" spans="1:3">
      <c r="A30" s="71"/>
      <c r="B30" s="60" t="s">
        <v>79</v>
      </c>
      <c r="C30" s="57">
        <v>234276</v>
      </c>
    </row>
    <row r="31" spans="1:3">
      <c r="A31" s="71">
        <v>2</v>
      </c>
      <c r="B31" s="56" t="s">
        <v>128</v>
      </c>
      <c r="C31" s="57">
        <v>703028</v>
      </c>
    </row>
    <row r="32" spans="1:3">
      <c r="A32" s="71"/>
      <c r="B32" s="60" t="s">
        <v>64</v>
      </c>
      <c r="C32" s="57">
        <v>395815</v>
      </c>
    </row>
    <row r="33" spans="1:3">
      <c r="A33" s="71"/>
      <c r="B33" s="60" t="s">
        <v>65</v>
      </c>
      <c r="C33" s="57">
        <v>16306</v>
      </c>
    </row>
    <row r="34" spans="1:3">
      <c r="A34" s="71"/>
      <c r="B34" s="60" t="s">
        <v>116</v>
      </c>
      <c r="C34" s="57">
        <v>290907</v>
      </c>
    </row>
    <row r="35" spans="1:3">
      <c r="A35" s="71">
        <v>3</v>
      </c>
      <c r="B35" s="56" t="s">
        <v>124</v>
      </c>
      <c r="C35" s="57">
        <v>12400</v>
      </c>
    </row>
    <row r="36" spans="1:3" s="12" customFormat="1">
      <c r="A36" s="77" t="s">
        <v>11</v>
      </c>
      <c r="B36" s="64" t="s">
        <v>80</v>
      </c>
      <c r="C36" s="65">
        <v>1190257</v>
      </c>
    </row>
  </sheetData>
  <mergeCells count="3">
    <mergeCell ref="A3:C3"/>
    <mergeCell ref="A4:C4"/>
    <mergeCell ref="A6:C6"/>
  </mergeCells>
  <pageMargins left="0.82" right="0.27559055118110237" top="0.70866141732283472" bottom="0.51181102362204722" header="0.31496062992125984" footer="0.23622047244094491"/>
  <pageSetup paperSize="9" orientation="portrait" horizontalDpi="1200" verticalDpi="1200" r:id="rId1"/>
  <headerFooter>
    <oddHeader>&amp;R&amp;"+,thường"&amp;12Mẫu số 11/CKTC-NSĐP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B050"/>
  </sheetPr>
  <dimension ref="A1:C57"/>
  <sheetViews>
    <sheetView workbookViewId="0"/>
  </sheetViews>
  <sheetFormatPr defaultColWidth="9" defaultRowHeight="15.75"/>
  <cols>
    <col min="1" max="1" width="7.25" style="7" customWidth="1"/>
    <col min="2" max="2" width="65.375" style="13" customWidth="1"/>
    <col min="3" max="3" width="17.125" style="14" customWidth="1"/>
    <col min="4" max="16384" width="9" style="7"/>
  </cols>
  <sheetData>
    <row r="1" spans="1:3" s="1" customFormat="1" ht="16.5">
      <c r="A1" s="1" t="s">
        <v>209</v>
      </c>
      <c r="B1" s="2"/>
      <c r="C1" s="3"/>
    </row>
    <row r="2" spans="1:3" s="1" customFormat="1" ht="12.75" customHeight="1">
      <c r="B2" s="2"/>
      <c r="C2" s="3"/>
    </row>
    <row r="3" spans="1:3" ht="6.75" customHeight="1"/>
    <row r="4" spans="1:3" s="5" customFormat="1" ht="18.75">
      <c r="A4" s="93" t="s">
        <v>129</v>
      </c>
      <c r="B4" s="94"/>
      <c r="C4" s="94"/>
    </row>
    <row r="5" spans="1:3">
      <c r="A5" s="95"/>
      <c r="B5" s="94"/>
      <c r="C5" s="94"/>
    </row>
    <row r="6" spans="1:3" ht="9" customHeight="1"/>
    <row r="7" spans="1:3">
      <c r="A7" s="96" t="s">
        <v>0</v>
      </c>
      <c r="B7" s="97"/>
      <c r="C7" s="97"/>
    </row>
    <row r="8" spans="1:3" ht="27.75" customHeight="1">
      <c r="A8" s="9" t="s">
        <v>1</v>
      </c>
      <c r="B8" s="10" t="s">
        <v>2</v>
      </c>
      <c r="C8" s="11" t="s">
        <v>113</v>
      </c>
    </row>
    <row r="9" spans="1:3" s="12" customFormat="1">
      <c r="A9" s="66"/>
      <c r="B9" s="54" t="s">
        <v>21</v>
      </c>
      <c r="C9" s="55">
        <v>1500000</v>
      </c>
    </row>
    <row r="10" spans="1:3" s="12" customFormat="1">
      <c r="A10" s="67" t="s">
        <v>4</v>
      </c>
      <c r="B10" s="58" t="s">
        <v>22</v>
      </c>
      <c r="C10" s="59">
        <v>1400000</v>
      </c>
    </row>
    <row r="11" spans="1:3" s="12" customFormat="1">
      <c r="A11" s="67" t="s">
        <v>6</v>
      </c>
      <c r="B11" s="58" t="s">
        <v>23</v>
      </c>
      <c r="C11" s="59">
        <v>1100000</v>
      </c>
    </row>
    <row r="12" spans="1:3">
      <c r="A12" s="68">
        <v>1</v>
      </c>
      <c r="B12" s="56" t="s">
        <v>24</v>
      </c>
      <c r="C12" s="57">
        <v>358000</v>
      </c>
    </row>
    <row r="13" spans="1:3">
      <c r="A13" s="68"/>
      <c r="B13" s="60" t="s">
        <v>25</v>
      </c>
      <c r="C13" s="57">
        <v>113700</v>
      </c>
    </row>
    <row r="14" spans="1:3">
      <c r="A14" s="68"/>
      <c r="B14" s="60" t="s">
        <v>26</v>
      </c>
      <c r="C14" s="57">
        <v>10000</v>
      </c>
    </row>
    <row r="15" spans="1:3">
      <c r="A15" s="68"/>
      <c r="B15" s="60" t="s">
        <v>27</v>
      </c>
      <c r="C15" s="57">
        <v>233000</v>
      </c>
    </row>
    <row r="16" spans="1:3">
      <c r="A16" s="68"/>
      <c r="B16" s="60" t="s">
        <v>28</v>
      </c>
      <c r="C16" s="57">
        <v>300</v>
      </c>
    </row>
    <row r="17" spans="1:3">
      <c r="A17" s="68"/>
      <c r="B17" s="60" t="s">
        <v>29</v>
      </c>
      <c r="C17" s="57">
        <v>1000</v>
      </c>
    </row>
    <row r="18" spans="1:3">
      <c r="A18" s="68">
        <v>2</v>
      </c>
      <c r="B18" s="56" t="s">
        <v>30</v>
      </c>
      <c r="C18" s="57">
        <v>85000</v>
      </c>
    </row>
    <row r="19" spans="1:3">
      <c r="A19" s="68"/>
      <c r="B19" s="60" t="s">
        <v>25</v>
      </c>
      <c r="C19" s="57">
        <v>52050</v>
      </c>
    </row>
    <row r="20" spans="1:3">
      <c r="A20" s="68"/>
      <c r="B20" s="60" t="s">
        <v>26</v>
      </c>
      <c r="C20" s="57">
        <v>21950</v>
      </c>
    </row>
    <row r="21" spans="1:3">
      <c r="A21" s="68"/>
      <c r="B21" s="60" t="s">
        <v>27</v>
      </c>
      <c r="C21" s="57">
        <v>100</v>
      </c>
    </row>
    <row r="22" spans="1:3">
      <c r="A22" s="68"/>
      <c r="B22" s="60" t="s">
        <v>28</v>
      </c>
      <c r="C22" s="57">
        <v>250</v>
      </c>
    </row>
    <row r="23" spans="1:3">
      <c r="A23" s="68"/>
      <c r="B23" s="60" t="s">
        <v>29</v>
      </c>
      <c r="C23" s="57">
        <v>10000</v>
      </c>
    </row>
    <row r="24" spans="1:3">
      <c r="A24" s="68"/>
      <c r="B24" s="60" t="s">
        <v>34</v>
      </c>
      <c r="C24" s="57">
        <v>650</v>
      </c>
    </row>
    <row r="25" spans="1:3">
      <c r="A25" s="68">
        <v>3</v>
      </c>
      <c r="B25" s="56" t="s">
        <v>31</v>
      </c>
      <c r="C25" s="57">
        <v>155000</v>
      </c>
    </row>
    <row r="26" spans="1:3">
      <c r="A26" s="68"/>
      <c r="B26" s="60" t="s">
        <v>25</v>
      </c>
      <c r="C26" s="57">
        <v>40763</v>
      </c>
    </row>
    <row r="27" spans="1:3">
      <c r="A27" s="68"/>
      <c r="B27" s="60" t="s">
        <v>26</v>
      </c>
      <c r="C27" s="57">
        <v>114000</v>
      </c>
    </row>
    <row r="28" spans="1:3">
      <c r="A28" s="68"/>
      <c r="B28" s="60" t="s">
        <v>32</v>
      </c>
      <c r="C28" s="57">
        <v>114</v>
      </c>
    </row>
    <row r="29" spans="1:3">
      <c r="A29" s="68"/>
      <c r="B29" s="60" t="s">
        <v>28</v>
      </c>
      <c r="C29" s="57">
        <v>55</v>
      </c>
    </row>
    <row r="30" spans="1:3">
      <c r="A30" s="68"/>
      <c r="B30" s="60" t="s">
        <v>34</v>
      </c>
      <c r="C30" s="57">
        <v>68</v>
      </c>
    </row>
    <row r="31" spans="1:3">
      <c r="A31" s="68">
        <v>4</v>
      </c>
      <c r="B31" s="56" t="s">
        <v>33</v>
      </c>
      <c r="C31" s="57">
        <v>250000</v>
      </c>
    </row>
    <row r="32" spans="1:3">
      <c r="A32" s="68"/>
      <c r="B32" s="60" t="s">
        <v>25</v>
      </c>
      <c r="C32" s="57">
        <v>210000</v>
      </c>
    </row>
    <row r="33" spans="1:3">
      <c r="A33" s="68"/>
      <c r="B33" s="60" t="s">
        <v>26</v>
      </c>
      <c r="C33" s="57">
        <v>21000</v>
      </c>
    </row>
    <row r="34" spans="1:3">
      <c r="A34" s="68"/>
      <c r="B34" s="60" t="s">
        <v>27</v>
      </c>
      <c r="C34" s="57">
        <v>1000</v>
      </c>
    </row>
    <row r="35" spans="1:3">
      <c r="A35" s="68"/>
      <c r="B35" s="60" t="s">
        <v>28</v>
      </c>
      <c r="C35" s="57">
        <v>6000</v>
      </c>
    </row>
    <row r="36" spans="1:3">
      <c r="A36" s="68"/>
      <c r="B36" s="60" t="s">
        <v>29</v>
      </c>
      <c r="C36" s="57">
        <v>6250</v>
      </c>
    </row>
    <row r="37" spans="1:3">
      <c r="A37" s="68"/>
      <c r="B37" s="60" t="s">
        <v>34</v>
      </c>
      <c r="C37" s="57">
        <v>5750</v>
      </c>
    </row>
    <row r="38" spans="1:3">
      <c r="A38" s="68">
        <v>5</v>
      </c>
      <c r="B38" s="56" t="s">
        <v>35</v>
      </c>
      <c r="C38" s="57">
        <v>43000</v>
      </c>
    </row>
    <row r="39" spans="1:3">
      <c r="A39" s="68">
        <v>6</v>
      </c>
      <c r="B39" s="56" t="s">
        <v>36</v>
      </c>
      <c r="C39" s="57">
        <v>300</v>
      </c>
    </row>
    <row r="40" spans="1:3">
      <c r="A40" s="68">
        <v>7</v>
      </c>
      <c r="B40" s="56" t="s">
        <v>37</v>
      </c>
      <c r="C40" s="57">
        <v>3000</v>
      </c>
    </row>
    <row r="41" spans="1:3">
      <c r="A41" s="68">
        <v>8</v>
      </c>
      <c r="B41" s="56" t="s">
        <v>38</v>
      </c>
      <c r="C41" s="57">
        <v>40000</v>
      </c>
    </row>
    <row r="42" spans="1:3">
      <c r="A42" s="68">
        <v>9</v>
      </c>
      <c r="B42" s="56" t="s">
        <v>39</v>
      </c>
      <c r="C42" s="57">
        <v>62000</v>
      </c>
    </row>
    <row r="43" spans="1:3">
      <c r="A43" s="68">
        <v>10</v>
      </c>
      <c r="B43" s="56" t="s">
        <v>40</v>
      </c>
      <c r="C43" s="57">
        <v>4700</v>
      </c>
    </row>
    <row r="44" spans="1:3">
      <c r="A44" s="68">
        <v>11</v>
      </c>
      <c r="B44" s="56" t="s">
        <v>41</v>
      </c>
      <c r="C44" s="57">
        <v>17000</v>
      </c>
    </row>
    <row r="45" spans="1:3">
      <c r="A45" s="68">
        <v>12</v>
      </c>
      <c r="B45" s="56" t="s">
        <v>42</v>
      </c>
      <c r="C45" s="57">
        <v>40000</v>
      </c>
    </row>
    <row r="46" spans="1:3" s="31" customFormat="1">
      <c r="A46" s="69" t="s">
        <v>43</v>
      </c>
      <c r="B46" s="32" t="s">
        <v>44</v>
      </c>
      <c r="C46" s="33">
        <v>40000</v>
      </c>
    </row>
    <row r="47" spans="1:3">
      <c r="A47" s="68">
        <v>13</v>
      </c>
      <c r="B47" s="56" t="s">
        <v>45</v>
      </c>
      <c r="C47" s="57">
        <v>10000</v>
      </c>
    </row>
    <row r="48" spans="1:3">
      <c r="A48" s="68">
        <v>14</v>
      </c>
      <c r="B48" s="56" t="s">
        <v>46</v>
      </c>
      <c r="C48" s="57">
        <v>32000</v>
      </c>
    </row>
    <row r="49" spans="1:3" s="75" customFormat="1" ht="31.5">
      <c r="A49" s="72" t="s">
        <v>11</v>
      </c>
      <c r="B49" s="73" t="s">
        <v>47</v>
      </c>
      <c r="C49" s="74">
        <v>300000</v>
      </c>
    </row>
    <row r="50" spans="1:3" s="12" customFormat="1">
      <c r="A50" s="67" t="s">
        <v>19</v>
      </c>
      <c r="B50" s="58" t="s">
        <v>48</v>
      </c>
      <c r="C50" s="59">
        <v>100000</v>
      </c>
    </row>
    <row r="51" spans="1:3" s="31" customFormat="1">
      <c r="A51" s="69"/>
      <c r="B51" s="32" t="s">
        <v>49</v>
      </c>
      <c r="C51" s="33">
        <v>55000</v>
      </c>
    </row>
    <row r="52" spans="1:3" s="12" customFormat="1">
      <c r="A52" s="67"/>
      <c r="B52" s="58" t="s">
        <v>50</v>
      </c>
      <c r="C52" s="59">
        <v>3274193</v>
      </c>
    </row>
    <row r="53" spans="1:3" s="12" customFormat="1">
      <c r="A53" s="67" t="s">
        <v>4</v>
      </c>
      <c r="B53" s="58" t="s">
        <v>51</v>
      </c>
      <c r="C53" s="59">
        <v>3174193</v>
      </c>
    </row>
    <row r="54" spans="1:3">
      <c r="A54" s="68">
        <v>1</v>
      </c>
      <c r="B54" s="56" t="s">
        <v>52</v>
      </c>
      <c r="C54" s="57">
        <v>180437</v>
      </c>
    </row>
    <row r="55" spans="1:3">
      <c r="A55" s="68">
        <v>2</v>
      </c>
      <c r="B55" s="56" t="s">
        <v>53</v>
      </c>
      <c r="C55" s="57">
        <v>919563</v>
      </c>
    </row>
    <row r="56" spans="1:3">
      <c r="A56" s="68">
        <v>3</v>
      </c>
      <c r="B56" s="56" t="s">
        <v>54</v>
      </c>
      <c r="C56" s="57">
        <v>2074193</v>
      </c>
    </row>
    <row r="57" spans="1:3" s="12" customFormat="1">
      <c r="A57" s="70" t="s">
        <v>19</v>
      </c>
      <c r="B57" s="64" t="s">
        <v>55</v>
      </c>
      <c r="C57" s="65">
        <v>100000</v>
      </c>
    </row>
  </sheetData>
  <mergeCells count="3">
    <mergeCell ref="A4:C4"/>
    <mergeCell ref="A5:C5"/>
    <mergeCell ref="A7:C7"/>
  </mergeCells>
  <pageMargins left="0.76" right="0.27559055118110237" top="1.0900000000000001" bottom="1.02" header="0.31496062992125984" footer="0.23622047244094491"/>
  <pageSetup paperSize="9" orientation="portrait" horizontalDpi="1200" verticalDpi="1200" r:id="rId1"/>
  <headerFooter>
    <oddHeader>&amp;R&amp;"+,thường"&amp;12Mẫu số 12/CKTC-NSĐP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B050"/>
  </sheetPr>
  <dimension ref="A1:C22"/>
  <sheetViews>
    <sheetView topLeftCell="A13" workbookViewId="0"/>
  </sheetViews>
  <sheetFormatPr defaultColWidth="9" defaultRowHeight="15.75"/>
  <cols>
    <col min="1" max="1" width="5.625" style="7" customWidth="1"/>
    <col min="2" max="2" width="65.375" style="13" customWidth="1"/>
    <col min="3" max="3" width="19" style="14" customWidth="1"/>
    <col min="4" max="16384" width="9" style="7"/>
  </cols>
  <sheetData>
    <row r="1" spans="1:3" s="1" customFormat="1" ht="16.5">
      <c r="A1" s="1" t="s">
        <v>209</v>
      </c>
      <c r="B1" s="2"/>
      <c r="C1" s="3"/>
    </row>
    <row r="2" spans="1:3" s="1" customFormat="1" ht="15" customHeight="1">
      <c r="B2" s="2"/>
      <c r="C2" s="3"/>
    </row>
    <row r="3" spans="1:3" s="5" customFormat="1" ht="18.75">
      <c r="A3" s="93" t="s">
        <v>130</v>
      </c>
      <c r="B3" s="94"/>
      <c r="C3" s="94"/>
    </row>
    <row r="4" spans="1:3">
      <c r="A4" s="95"/>
      <c r="B4" s="94"/>
      <c r="C4" s="94"/>
    </row>
    <row r="5" spans="1:3">
      <c r="A5" s="96" t="s">
        <v>0</v>
      </c>
      <c r="B5" s="97"/>
      <c r="C5" s="97"/>
    </row>
    <row r="6" spans="1:3" s="12" customFormat="1" ht="31.5" customHeight="1">
      <c r="A6" s="9" t="s">
        <v>1</v>
      </c>
      <c r="B6" s="10" t="s">
        <v>2</v>
      </c>
      <c r="C6" s="11" t="s">
        <v>113</v>
      </c>
    </row>
    <row r="7" spans="1:3" s="12" customFormat="1">
      <c r="A7" s="34"/>
      <c r="B7" s="54" t="s">
        <v>3</v>
      </c>
      <c r="C7" s="55">
        <v>3274193</v>
      </c>
    </row>
    <row r="8" spans="1:3" s="12" customFormat="1">
      <c r="A8" s="76" t="s">
        <v>4</v>
      </c>
      <c r="B8" s="58" t="s">
        <v>5</v>
      </c>
      <c r="C8" s="59">
        <v>3174193</v>
      </c>
    </row>
    <row r="9" spans="1:3" s="12" customFormat="1">
      <c r="A9" s="76" t="s">
        <v>6</v>
      </c>
      <c r="B9" s="58" t="s">
        <v>7</v>
      </c>
      <c r="C9" s="59">
        <v>102050</v>
      </c>
    </row>
    <row r="10" spans="1:3">
      <c r="A10" s="71"/>
      <c r="B10" s="56" t="s">
        <v>8</v>
      </c>
      <c r="C10" s="57"/>
    </row>
    <row r="11" spans="1:3">
      <c r="A11" s="71"/>
      <c r="B11" s="60" t="s">
        <v>9</v>
      </c>
      <c r="C11" s="57"/>
    </row>
    <row r="12" spans="1:3">
      <c r="A12" s="71"/>
      <c r="B12" s="60" t="s">
        <v>10</v>
      </c>
      <c r="C12" s="57"/>
    </row>
    <row r="13" spans="1:3" s="12" customFormat="1">
      <c r="A13" s="76" t="s">
        <v>11</v>
      </c>
      <c r="B13" s="58" t="s">
        <v>12</v>
      </c>
      <c r="C13" s="59">
        <v>2882143</v>
      </c>
    </row>
    <row r="14" spans="1:3">
      <c r="A14" s="71"/>
      <c r="B14" s="56" t="s">
        <v>8</v>
      </c>
      <c r="C14" s="57"/>
    </row>
    <row r="15" spans="1:3">
      <c r="A15" s="71"/>
      <c r="B15" s="60" t="s">
        <v>9</v>
      </c>
      <c r="C15" s="57">
        <v>948322</v>
      </c>
    </row>
    <row r="16" spans="1:3">
      <c r="A16" s="71"/>
      <c r="B16" s="60" t="s">
        <v>10</v>
      </c>
      <c r="C16" s="57">
        <v>13643</v>
      </c>
    </row>
    <row r="17" spans="1:3" s="12" customFormat="1" ht="31.5">
      <c r="A17" s="76" t="s">
        <v>13</v>
      </c>
      <c r="B17" s="58" t="s">
        <v>14</v>
      </c>
      <c r="C17" s="59">
        <v>87150</v>
      </c>
    </row>
    <row r="18" spans="1:3" s="12" customFormat="1">
      <c r="A18" s="76" t="s">
        <v>15</v>
      </c>
      <c r="B18" s="58" t="s">
        <v>16</v>
      </c>
      <c r="C18" s="59">
        <v>1000</v>
      </c>
    </row>
    <row r="19" spans="1:3" s="12" customFormat="1">
      <c r="A19" s="76" t="s">
        <v>17</v>
      </c>
      <c r="B19" s="58" t="s">
        <v>119</v>
      </c>
      <c r="C19" s="59">
        <v>46850</v>
      </c>
    </row>
    <row r="20" spans="1:3" s="12" customFormat="1">
      <c r="A20" s="76" t="s">
        <v>18</v>
      </c>
      <c r="B20" s="58" t="s">
        <v>131</v>
      </c>
      <c r="C20" s="59">
        <v>55000</v>
      </c>
    </row>
    <row r="21" spans="1:3">
      <c r="A21" s="71"/>
      <c r="B21" s="56" t="s">
        <v>132</v>
      </c>
      <c r="C21" s="57">
        <v>739540</v>
      </c>
    </row>
    <row r="22" spans="1:3" s="12" customFormat="1">
      <c r="A22" s="77" t="s">
        <v>19</v>
      </c>
      <c r="B22" s="64" t="s">
        <v>20</v>
      </c>
      <c r="C22" s="65">
        <v>100000</v>
      </c>
    </row>
  </sheetData>
  <mergeCells count="3">
    <mergeCell ref="A3:C3"/>
    <mergeCell ref="A4:C4"/>
    <mergeCell ref="A5:C5"/>
  </mergeCells>
  <pageMargins left="0.76" right="0.27559055118110237" top="0.85" bottom="0.51181102362204722" header="0.31496062992125984" footer="0.23622047244094491"/>
  <pageSetup paperSize="9" orientation="portrait" horizontalDpi="1200" verticalDpi="1200" r:id="rId1"/>
  <headerFooter>
    <oddHeader>&amp;R&amp;"+,thường"&amp;12Mẫu số 13/CKTC-NSĐP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</sheetPr>
  <dimension ref="A1:C28"/>
  <sheetViews>
    <sheetView workbookViewId="0"/>
  </sheetViews>
  <sheetFormatPr defaultColWidth="9" defaultRowHeight="15.75"/>
  <cols>
    <col min="1" max="1" width="5.625" style="7" customWidth="1"/>
    <col min="2" max="2" width="62.375" style="13" customWidth="1"/>
    <col min="3" max="3" width="18.625" style="14" customWidth="1"/>
    <col min="4" max="16384" width="9" style="7"/>
  </cols>
  <sheetData>
    <row r="1" spans="1:3" s="1" customFormat="1" ht="16.5">
      <c r="A1" s="1" t="s">
        <v>209</v>
      </c>
      <c r="B1" s="2"/>
      <c r="C1" s="3"/>
    </row>
    <row r="2" spans="1:3" s="1" customFormat="1" ht="16.5">
      <c r="B2" s="2"/>
      <c r="C2" s="3"/>
    </row>
    <row r="3" spans="1:3" s="5" customFormat="1" ht="18.75">
      <c r="A3" s="93" t="s">
        <v>133</v>
      </c>
      <c r="B3" s="94"/>
      <c r="C3" s="94"/>
    </row>
    <row r="5" spans="1:3">
      <c r="A5" s="96" t="s">
        <v>0</v>
      </c>
      <c r="B5" s="97"/>
      <c r="C5" s="97"/>
    </row>
    <row r="6" spans="1:3" s="12" customFormat="1" ht="33.75" customHeight="1">
      <c r="A6" s="34" t="s">
        <v>1</v>
      </c>
      <c r="B6" s="35" t="s">
        <v>2</v>
      </c>
      <c r="C6" s="36" t="s">
        <v>113</v>
      </c>
    </row>
    <row r="7" spans="1:3" s="12" customFormat="1" ht="18.75" customHeight="1">
      <c r="A7" s="34"/>
      <c r="B7" s="54" t="s">
        <v>81</v>
      </c>
      <c r="C7" s="55">
        <v>2786964</v>
      </c>
    </row>
    <row r="8" spans="1:3" s="12" customFormat="1">
      <c r="A8" s="76" t="s">
        <v>6</v>
      </c>
      <c r="B8" s="58" t="s">
        <v>7</v>
      </c>
      <c r="C8" s="59">
        <v>858634.22400000016</v>
      </c>
    </row>
    <row r="9" spans="1:3">
      <c r="A9" s="71">
        <v>1</v>
      </c>
      <c r="B9" s="56" t="s">
        <v>82</v>
      </c>
      <c r="C9" s="57">
        <v>857634.22400000016</v>
      </c>
    </row>
    <row r="10" spans="1:3">
      <c r="A10" s="71">
        <v>2</v>
      </c>
      <c r="B10" s="56" t="s">
        <v>83</v>
      </c>
      <c r="C10" s="57">
        <v>1000</v>
      </c>
    </row>
    <row r="11" spans="1:3" s="12" customFormat="1">
      <c r="A11" s="76" t="s">
        <v>11</v>
      </c>
      <c r="B11" s="58" t="s">
        <v>212</v>
      </c>
      <c r="C11" s="59">
        <v>1078465.3399999999</v>
      </c>
    </row>
    <row r="12" spans="1:3">
      <c r="A12" s="71">
        <v>1</v>
      </c>
      <c r="B12" s="56" t="s">
        <v>84</v>
      </c>
      <c r="C12" s="57">
        <v>249829.774</v>
      </c>
    </row>
    <row r="13" spans="1:3">
      <c r="A13" s="71">
        <v>2</v>
      </c>
      <c r="B13" s="56" t="s">
        <v>85</v>
      </c>
      <c r="C13" s="57">
        <v>278068.91499999998</v>
      </c>
    </row>
    <row r="14" spans="1:3">
      <c r="A14" s="71">
        <v>3</v>
      </c>
      <c r="B14" s="56" t="s">
        <v>134</v>
      </c>
      <c r="C14" s="57">
        <v>13642.995999999999</v>
      </c>
    </row>
    <row r="15" spans="1:3">
      <c r="A15" s="71">
        <v>4</v>
      </c>
      <c r="B15" s="56" t="s">
        <v>86</v>
      </c>
      <c r="C15" s="57">
        <v>15960.648999999999</v>
      </c>
    </row>
    <row r="16" spans="1:3">
      <c r="A16" s="71">
        <v>5</v>
      </c>
      <c r="B16" s="56" t="s">
        <v>135</v>
      </c>
      <c r="C16" s="57">
        <v>10147.316000000001</v>
      </c>
    </row>
    <row r="17" spans="1:3">
      <c r="A17" s="71">
        <v>6</v>
      </c>
      <c r="B17" s="56" t="s">
        <v>87</v>
      </c>
      <c r="C17" s="57">
        <v>10619.379000000001</v>
      </c>
    </row>
    <row r="18" spans="1:3">
      <c r="A18" s="71">
        <v>7</v>
      </c>
      <c r="B18" s="56" t="s">
        <v>88</v>
      </c>
      <c r="C18" s="57">
        <v>32066.245999999999</v>
      </c>
    </row>
    <row r="19" spans="1:3">
      <c r="A19" s="71">
        <v>8</v>
      </c>
      <c r="B19" s="56" t="s">
        <v>90</v>
      </c>
      <c r="C19" s="57">
        <v>142643.291</v>
      </c>
    </row>
    <row r="20" spans="1:3">
      <c r="A20" s="71">
        <v>9</v>
      </c>
      <c r="B20" s="56" t="s">
        <v>91</v>
      </c>
      <c r="C20" s="57">
        <v>233425.541</v>
      </c>
    </row>
    <row r="21" spans="1:3">
      <c r="A21" s="71">
        <v>10</v>
      </c>
      <c r="B21" s="56" t="s">
        <v>136</v>
      </c>
      <c r="C21" s="57">
        <v>13766.233</v>
      </c>
    </row>
    <row r="22" spans="1:3">
      <c r="A22" s="71">
        <v>11</v>
      </c>
      <c r="B22" s="56" t="s">
        <v>89</v>
      </c>
      <c r="C22" s="57">
        <v>18200</v>
      </c>
    </row>
    <row r="23" spans="1:3">
      <c r="A23" s="71">
        <v>12</v>
      </c>
      <c r="B23" s="56" t="s">
        <v>137</v>
      </c>
      <c r="C23" s="57">
        <v>41195</v>
      </c>
    </row>
    <row r="24" spans="1:3" s="12" customFormat="1" ht="31.5">
      <c r="A24" s="76" t="s">
        <v>13</v>
      </c>
      <c r="B24" s="58" t="s">
        <v>14</v>
      </c>
      <c r="C24" s="59">
        <v>87150</v>
      </c>
    </row>
    <row r="25" spans="1:3" s="12" customFormat="1">
      <c r="A25" s="76" t="s">
        <v>15</v>
      </c>
      <c r="B25" s="58" t="s">
        <v>138</v>
      </c>
      <c r="C25" s="59">
        <v>1000</v>
      </c>
    </row>
    <row r="26" spans="1:3" s="12" customFormat="1">
      <c r="A26" s="76" t="s">
        <v>17</v>
      </c>
      <c r="B26" s="58" t="s">
        <v>119</v>
      </c>
      <c r="C26" s="59">
        <v>26086.436000000002</v>
      </c>
    </row>
    <row r="27" spans="1:3" s="12" customFormat="1">
      <c r="A27" s="76" t="s">
        <v>18</v>
      </c>
      <c r="B27" s="58" t="s">
        <v>92</v>
      </c>
      <c r="C27" s="59">
        <v>703028</v>
      </c>
    </row>
    <row r="28" spans="1:3" s="12" customFormat="1">
      <c r="A28" s="77" t="s">
        <v>93</v>
      </c>
      <c r="B28" s="64" t="s">
        <v>120</v>
      </c>
      <c r="C28" s="65">
        <v>32600</v>
      </c>
    </row>
  </sheetData>
  <mergeCells count="2">
    <mergeCell ref="A3:C3"/>
    <mergeCell ref="A5:C5"/>
  </mergeCells>
  <pageMargins left="0.94" right="0.27559055118110237" top="0.70866141732283472" bottom="0.51181102362204722" header="0.31496062992125984" footer="0.23622047244094491"/>
  <pageSetup paperSize="9" orientation="portrait" horizontalDpi="1200" verticalDpi="1200" r:id="rId1"/>
  <headerFooter>
    <oddHeader>&amp;R&amp;"+,thường"&amp;12Mẫu số 14/CKTC-NSĐP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0B050"/>
  </sheetPr>
  <dimension ref="A1:F68"/>
  <sheetViews>
    <sheetView workbookViewId="0">
      <selection sqref="A1:B1"/>
    </sheetView>
  </sheetViews>
  <sheetFormatPr defaultColWidth="9" defaultRowHeight="15.75"/>
  <cols>
    <col min="1" max="1" width="5.625" style="40" customWidth="1"/>
    <col min="2" max="2" width="46" style="13" customWidth="1"/>
    <col min="3" max="3" width="10.375" style="41" customWidth="1"/>
    <col min="4" max="4" width="11.75" style="41" customWidth="1"/>
    <col min="5" max="6" width="13.875" style="41" customWidth="1"/>
    <col min="7" max="16384" width="9" style="7"/>
  </cols>
  <sheetData>
    <row r="1" spans="1:6" s="12" customFormat="1">
      <c r="A1" s="101" t="s">
        <v>209</v>
      </c>
      <c r="B1" s="102"/>
      <c r="C1" s="37"/>
      <c r="D1" s="37"/>
      <c r="E1" s="37"/>
      <c r="F1" s="37"/>
    </row>
    <row r="3" spans="1:6" s="39" customFormat="1" ht="66" customHeight="1">
      <c r="A3" s="93" t="s">
        <v>139</v>
      </c>
      <c r="B3" s="103"/>
      <c r="C3" s="103"/>
      <c r="D3" s="104"/>
      <c r="E3" s="104"/>
      <c r="F3" s="52"/>
    </row>
    <row r="4" spans="1:6">
      <c r="A4" s="95"/>
      <c r="B4" s="105"/>
      <c r="C4" s="105"/>
      <c r="D4" s="94"/>
      <c r="E4" s="94"/>
      <c r="F4" s="50"/>
    </row>
    <row r="6" spans="1:6">
      <c r="A6" s="106" t="s">
        <v>0</v>
      </c>
      <c r="B6" s="107"/>
      <c r="C6" s="107"/>
      <c r="D6" s="108"/>
      <c r="E6" s="109"/>
      <c r="F6" s="53"/>
    </row>
    <row r="7" spans="1:6" s="12" customFormat="1">
      <c r="A7" s="98" t="s">
        <v>1</v>
      </c>
      <c r="B7" s="99" t="s">
        <v>2</v>
      </c>
      <c r="C7" s="100" t="s">
        <v>113</v>
      </c>
      <c r="D7" s="100" t="s">
        <v>94</v>
      </c>
      <c r="E7" s="100"/>
      <c r="F7" s="78"/>
    </row>
    <row r="8" spans="1:6" s="12" customFormat="1" ht="31.5">
      <c r="A8" s="98"/>
      <c r="B8" s="99"/>
      <c r="C8" s="100"/>
      <c r="D8" s="51" t="s">
        <v>210</v>
      </c>
      <c r="E8" s="51" t="s">
        <v>211</v>
      </c>
      <c r="F8" s="79"/>
    </row>
    <row r="9" spans="1:6" s="12" customFormat="1">
      <c r="A9" s="35"/>
      <c r="B9" s="35" t="s">
        <v>102</v>
      </c>
      <c r="C9" s="84">
        <v>991655</v>
      </c>
      <c r="D9" s="84">
        <v>754455</v>
      </c>
      <c r="E9" s="84">
        <v>237200</v>
      </c>
      <c r="F9" s="80"/>
    </row>
    <row r="10" spans="1:6" s="12" customFormat="1">
      <c r="A10" s="117" t="s">
        <v>6</v>
      </c>
      <c r="B10" s="85" t="s">
        <v>140</v>
      </c>
      <c r="C10" s="86">
        <v>189200</v>
      </c>
      <c r="D10" s="86">
        <v>189200</v>
      </c>
      <c r="E10" s="86"/>
      <c r="F10" s="80"/>
    </row>
    <row r="11" spans="1:6" s="12" customFormat="1">
      <c r="A11" s="117" t="s">
        <v>11</v>
      </c>
      <c r="B11" s="85" t="s">
        <v>141</v>
      </c>
      <c r="C11" s="86">
        <v>424515</v>
      </c>
      <c r="D11" s="86">
        <v>424515</v>
      </c>
      <c r="E11" s="86">
        <v>0</v>
      </c>
      <c r="F11" s="80"/>
    </row>
    <row r="12" spans="1:6" s="12" customFormat="1">
      <c r="A12" s="117" t="s">
        <v>142</v>
      </c>
      <c r="B12" s="85" t="s">
        <v>143</v>
      </c>
      <c r="C12" s="86">
        <v>262600</v>
      </c>
      <c r="D12" s="86">
        <v>262600</v>
      </c>
      <c r="E12" s="86"/>
      <c r="F12" s="80"/>
    </row>
    <row r="13" spans="1:6" s="12" customFormat="1">
      <c r="A13" s="118">
        <v>1</v>
      </c>
      <c r="B13" s="87" t="s">
        <v>144</v>
      </c>
      <c r="C13" s="88">
        <v>56600</v>
      </c>
      <c r="D13" s="88">
        <v>56600</v>
      </c>
      <c r="E13" s="88"/>
      <c r="F13" s="81"/>
    </row>
    <row r="14" spans="1:6" s="12" customFormat="1">
      <c r="A14" s="118">
        <v>2</v>
      </c>
      <c r="B14" s="87" t="s">
        <v>145</v>
      </c>
      <c r="C14" s="88">
        <v>59000</v>
      </c>
      <c r="D14" s="88">
        <v>59000</v>
      </c>
      <c r="E14" s="88"/>
      <c r="F14" s="81"/>
    </row>
    <row r="15" spans="1:6" s="12" customFormat="1" ht="31.5">
      <c r="A15" s="118">
        <v>3</v>
      </c>
      <c r="B15" s="87" t="s">
        <v>146</v>
      </c>
      <c r="C15" s="88">
        <v>34000</v>
      </c>
      <c r="D15" s="88">
        <v>34000</v>
      </c>
      <c r="E15" s="88"/>
      <c r="F15" s="81"/>
    </row>
    <row r="16" spans="1:6" s="12" customFormat="1">
      <c r="A16" s="118">
        <v>4</v>
      </c>
      <c r="B16" s="87" t="s">
        <v>147</v>
      </c>
      <c r="C16" s="88">
        <v>19000</v>
      </c>
      <c r="D16" s="88">
        <v>19000</v>
      </c>
      <c r="E16" s="88"/>
      <c r="F16" s="81"/>
    </row>
    <row r="17" spans="1:6" s="12" customFormat="1">
      <c r="A17" s="118">
        <v>5</v>
      </c>
      <c r="B17" s="87" t="s">
        <v>148</v>
      </c>
      <c r="C17" s="88">
        <v>23000</v>
      </c>
      <c r="D17" s="88">
        <v>23000</v>
      </c>
      <c r="E17" s="88"/>
      <c r="F17" s="81"/>
    </row>
    <row r="18" spans="1:6" s="12" customFormat="1">
      <c r="A18" s="118">
        <v>6</v>
      </c>
      <c r="B18" s="87" t="s">
        <v>149</v>
      </c>
      <c r="C18" s="88">
        <v>7000</v>
      </c>
      <c r="D18" s="88">
        <v>7000</v>
      </c>
      <c r="E18" s="88"/>
      <c r="F18" s="81"/>
    </row>
    <row r="19" spans="1:6" s="12" customFormat="1">
      <c r="A19" s="118">
        <v>7</v>
      </c>
      <c r="B19" s="87" t="s">
        <v>150</v>
      </c>
      <c r="C19" s="88">
        <v>5000</v>
      </c>
      <c r="D19" s="88">
        <v>5000</v>
      </c>
      <c r="E19" s="88"/>
      <c r="F19" s="81"/>
    </row>
    <row r="20" spans="1:6" s="12" customFormat="1">
      <c r="A20" s="118">
        <v>8</v>
      </c>
      <c r="B20" s="87" t="s">
        <v>151</v>
      </c>
      <c r="C20" s="88">
        <v>6000</v>
      </c>
      <c r="D20" s="88">
        <v>6000</v>
      </c>
      <c r="E20" s="88"/>
      <c r="F20" s="81"/>
    </row>
    <row r="21" spans="1:6" s="12" customFormat="1">
      <c r="A21" s="118">
        <v>9</v>
      </c>
      <c r="B21" s="87" t="s">
        <v>152</v>
      </c>
      <c r="C21" s="88">
        <v>28000</v>
      </c>
      <c r="D21" s="88">
        <v>28000</v>
      </c>
      <c r="E21" s="88"/>
      <c r="F21" s="81"/>
    </row>
    <row r="22" spans="1:6" s="12" customFormat="1">
      <c r="A22" s="118">
        <v>10</v>
      </c>
      <c r="B22" s="87" t="s">
        <v>153</v>
      </c>
      <c r="C22" s="88">
        <v>8000</v>
      </c>
      <c r="D22" s="88">
        <v>8000</v>
      </c>
      <c r="E22" s="88"/>
      <c r="F22" s="81"/>
    </row>
    <row r="23" spans="1:6" s="12" customFormat="1">
      <c r="A23" s="118">
        <v>11</v>
      </c>
      <c r="B23" s="87" t="s">
        <v>154</v>
      </c>
      <c r="C23" s="88">
        <v>9500</v>
      </c>
      <c r="D23" s="88">
        <v>9500</v>
      </c>
      <c r="E23" s="88"/>
      <c r="F23" s="81"/>
    </row>
    <row r="24" spans="1:6" s="12" customFormat="1">
      <c r="A24" s="118">
        <v>12</v>
      </c>
      <c r="B24" s="87" t="s">
        <v>155</v>
      </c>
      <c r="C24" s="88">
        <v>1000</v>
      </c>
      <c r="D24" s="88">
        <v>1000</v>
      </c>
      <c r="E24" s="88"/>
      <c r="F24" s="81"/>
    </row>
    <row r="25" spans="1:6" s="12" customFormat="1" ht="47.25">
      <c r="A25" s="118">
        <v>13</v>
      </c>
      <c r="B25" s="87" t="s">
        <v>156</v>
      </c>
      <c r="C25" s="88">
        <v>6500</v>
      </c>
      <c r="D25" s="88">
        <v>6500</v>
      </c>
      <c r="E25" s="88"/>
      <c r="F25" s="81"/>
    </row>
    <row r="26" spans="1:6" s="12" customFormat="1">
      <c r="A26" s="117" t="s">
        <v>157</v>
      </c>
      <c r="B26" s="85" t="s">
        <v>158</v>
      </c>
      <c r="C26" s="86">
        <v>161915</v>
      </c>
      <c r="D26" s="86">
        <v>161915</v>
      </c>
      <c r="E26" s="86"/>
      <c r="F26" s="80"/>
    </row>
    <row r="27" spans="1:6">
      <c r="A27" s="118"/>
      <c r="B27" s="87" t="s">
        <v>8</v>
      </c>
      <c r="C27" s="88"/>
      <c r="D27" s="88"/>
      <c r="E27" s="88"/>
      <c r="F27" s="81"/>
    </row>
    <row r="28" spans="1:6" ht="31.5">
      <c r="A28" s="118"/>
      <c r="B28" s="89" t="s">
        <v>159</v>
      </c>
      <c r="C28" s="88">
        <v>4280</v>
      </c>
      <c r="D28" s="88">
        <v>4280</v>
      </c>
      <c r="E28" s="88"/>
      <c r="F28" s="81"/>
    </row>
    <row r="29" spans="1:6" s="12" customFormat="1">
      <c r="A29" s="117" t="s">
        <v>13</v>
      </c>
      <c r="B29" s="85" t="s">
        <v>160</v>
      </c>
      <c r="C29" s="86">
        <v>55000</v>
      </c>
      <c r="D29" s="86">
        <v>55000</v>
      </c>
      <c r="E29" s="86"/>
      <c r="F29" s="80"/>
    </row>
    <row r="30" spans="1:6" s="12" customFormat="1">
      <c r="A30" s="76" t="s">
        <v>15</v>
      </c>
      <c r="B30" s="58" t="s">
        <v>96</v>
      </c>
      <c r="C30" s="90">
        <v>148283</v>
      </c>
      <c r="D30" s="90">
        <v>85740</v>
      </c>
      <c r="E30" s="90">
        <v>62543</v>
      </c>
      <c r="F30" s="82"/>
    </row>
    <row r="31" spans="1:6">
      <c r="A31" s="71">
        <v>1</v>
      </c>
      <c r="B31" s="56" t="s">
        <v>98</v>
      </c>
      <c r="C31" s="91">
        <v>12699</v>
      </c>
      <c r="D31" s="91"/>
      <c r="E31" s="91">
        <v>12699</v>
      </c>
      <c r="F31" s="83"/>
    </row>
    <row r="32" spans="1:6">
      <c r="A32" s="71">
        <v>2</v>
      </c>
      <c r="B32" s="56" t="s">
        <v>97</v>
      </c>
      <c r="C32" s="91">
        <v>72796</v>
      </c>
      <c r="D32" s="91">
        <v>51230</v>
      </c>
      <c r="E32" s="91">
        <v>21566</v>
      </c>
      <c r="F32" s="83"/>
    </row>
    <row r="33" spans="1:6">
      <c r="A33" s="71">
        <v>3</v>
      </c>
      <c r="B33" s="56" t="s">
        <v>161</v>
      </c>
      <c r="C33" s="91">
        <v>28990</v>
      </c>
      <c r="D33" s="91">
        <v>27290</v>
      </c>
      <c r="E33" s="91">
        <v>1700</v>
      </c>
      <c r="F33" s="83"/>
    </row>
    <row r="34" spans="1:6">
      <c r="A34" s="71">
        <v>4</v>
      </c>
      <c r="B34" s="56" t="s">
        <v>162</v>
      </c>
      <c r="C34" s="91">
        <v>4193</v>
      </c>
      <c r="D34" s="91">
        <v>2000</v>
      </c>
      <c r="E34" s="91">
        <v>2193</v>
      </c>
      <c r="F34" s="83"/>
    </row>
    <row r="35" spans="1:6">
      <c r="A35" s="71">
        <v>5</v>
      </c>
      <c r="B35" s="56" t="s">
        <v>163</v>
      </c>
      <c r="C35" s="91">
        <v>2865</v>
      </c>
      <c r="D35" s="91"/>
      <c r="E35" s="91">
        <v>2865</v>
      </c>
      <c r="F35" s="83"/>
    </row>
    <row r="36" spans="1:6">
      <c r="A36" s="71">
        <v>6</v>
      </c>
      <c r="B36" s="56" t="s">
        <v>164</v>
      </c>
      <c r="C36" s="91">
        <v>675</v>
      </c>
      <c r="D36" s="91"/>
      <c r="E36" s="91">
        <v>675</v>
      </c>
      <c r="F36" s="83"/>
    </row>
    <row r="37" spans="1:6">
      <c r="A37" s="71">
        <v>7</v>
      </c>
      <c r="B37" s="56" t="s">
        <v>165</v>
      </c>
      <c r="C37" s="91">
        <v>4416</v>
      </c>
      <c r="D37" s="91">
        <v>2500</v>
      </c>
      <c r="E37" s="91">
        <v>1916</v>
      </c>
      <c r="F37" s="83"/>
    </row>
    <row r="38" spans="1:6">
      <c r="A38" s="71">
        <v>8</v>
      </c>
      <c r="B38" s="56" t="s">
        <v>166</v>
      </c>
      <c r="C38" s="91">
        <v>15820</v>
      </c>
      <c r="D38" s="91">
        <v>720</v>
      </c>
      <c r="E38" s="91">
        <v>15100</v>
      </c>
      <c r="F38" s="83"/>
    </row>
    <row r="39" spans="1:6">
      <c r="A39" s="71">
        <v>9</v>
      </c>
      <c r="B39" s="56" t="s">
        <v>167</v>
      </c>
      <c r="C39" s="91">
        <v>700</v>
      </c>
      <c r="D39" s="91"/>
      <c r="E39" s="91">
        <v>700</v>
      </c>
      <c r="F39" s="83"/>
    </row>
    <row r="40" spans="1:6">
      <c r="A40" s="71">
        <v>10</v>
      </c>
      <c r="B40" s="56" t="s">
        <v>168</v>
      </c>
      <c r="C40" s="91">
        <v>185</v>
      </c>
      <c r="D40" s="91"/>
      <c r="E40" s="91">
        <v>185</v>
      </c>
      <c r="F40" s="83"/>
    </row>
    <row r="41" spans="1:6">
      <c r="A41" s="71">
        <v>11</v>
      </c>
      <c r="B41" s="56" t="s">
        <v>169</v>
      </c>
      <c r="C41" s="91">
        <v>2338</v>
      </c>
      <c r="D41" s="91"/>
      <c r="E41" s="91">
        <v>2338</v>
      </c>
      <c r="F41" s="83"/>
    </row>
    <row r="42" spans="1:6">
      <c r="A42" s="71">
        <v>12</v>
      </c>
      <c r="B42" s="56" t="s">
        <v>170</v>
      </c>
      <c r="C42" s="91">
        <v>2606</v>
      </c>
      <c r="D42" s="91">
        <v>2000</v>
      </c>
      <c r="E42" s="91">
        <v>606</v>
      </c>
      <c r="F42" s="83"/>
    </row>
    <row r="43" spans="1:6" s="12" customFormat="1">
      <c r="A43" s="76" t="s">
        <v>17</v>
      </c>
      <c r="B43" s="58" t="s">
        <v>95</v>
      </c>
      <c r="C43" s="90">
        <v>174657</v>
      </c>
      <c r="D43" s="90"/>
      <c r="E43" s="90">
        <v>174657</v>
      </c>
      <c r="F43" s="82"/>
    </row>
    <row r="44" spans="1:6">
      <c r="A44" s="71">
        <v>1</v>
      </c>
      <c r="B44" s="56" t="s">
        <v>171</v>
      </c>
      <c r="C44" s="91">
        <v>46238</v>
      </c>
      <c r="D44" s="91"/>
      <c r="E44" s="91">
        <v>46238</v>
      </c>
      <c r="F44" s="83"/>
    </row>
    <row r="45" spans="1:6" ht="31.5">
      <c r="A45" s="71">
        <v>2</v>
      </c>
      <c r="B45" s="56" t="s">
        <v>172</v>
      </c>
      <c r="C45" s="91">
        <v>1311</v>
      </c>
      <c r="D45" s="91"/>
      <c r="E45" s="91">
        <v>1311</v>
      </c>
      <c r="F45" s="83"/>
    </row>
    <row r="46" spans="1:6">
      <c r="A46" s="71">
        <v>3</v>
      </c>
      <c r="B46" s="56" t="s">
        <v>173</v>
      </c>
      <c r="C46" s="91">
        <v>220</v>
      </c>
      <c r="D46" s="91"/>
      <c r="E46" s="91">
        <v>220</v>
      </c>
      <c r="F46" s="83"/>
    </row>
    <row r="47" spans="1:6" ht="31.5">
      <c r="A47" s="71">
        <v>4</v>
      </c>
      <c r="B47" s="56" t="s">
        <v>174</v>
      </c>
      <c r="C47" s="91">
        <v>226</v>
      </c>
      <c r="D47" s="91"/>
      <c r="E47" s="91">
        <v>226</v>
      </c>
      <c r="F47" s="83"/>
    </row>
    <row r="48" spans="1:6">
      <c r="A48" s="71">
        <v>5</v>
      </c>
      <c r="B48" s="56" t="s">
        <v>175</v>
      </c>
      <c r="C48" s="91">
        <v>255</v>
      </c>
      <c r="D48" s="91"/>
      <c r="E48" s="91">
        <v>255</v>
      </c>
      <c r="F48" s="83"/>
    </row>
    <row r="49" spans="1:6">
      <c r="A49" s="71">
        <v>6</v>
      </c>
      <c r="B49" s="56" t="s">
        <v>176</v>
      </c>
      <c r="C49" s="91">
        <v>662</v>
      </c>
      <c r="D49" s="91"/>
      <c r="E49" s="91">
        <v>662</v>
      </c>
      <c r="F49" s="83"/>
    </row>
    <row r="50" spans="1:6">
      <c r="A50" s="71">
        <v>7</v>
      </c>
      <c r="B50" s="56" t="s">
        <v>177</v>
      </c>
      <c r="C50" s="91">
        <v>250</v>
      </c>
      <c r="D50" s="91"/>
      <c r="E50" s="91">
        <v>250</v>
      </c>
      <c r="F50" s="83"/>
    </row>
    <row r="51" spans="1:6" ht="31.5">
      <c r="A51" s="71">
        <v>8</v>
      </c>
      <c r="B51" s="56" t="s">
        <v>178</v>
      </c>
      <c r="C51" s="91">
        <v>90</v>
      </c>
      <c r="D51" s="91"/>
      <c r="E51" s="91">
        <v>90</v>
      </c>
      <c r="F51" s="83"/>
    </row>
    <row r="52" spans="1:6">
      <c r="A52" s="71">
        <v>9</v>
      </c>
      <c r="B52" s="56" t="s">
        <v>179</v>
      </c>
      <c r="C52" s="91">
        <v>1096</v>
      </c>
      <c r="D52" s="91"/>
      <c r="E52" s="91">
        <v>1096</v>
      </c>
      <c r="F52" s="83"/>
    </row>
    <row r="53" spans="1:6" ht="31.5">
      <c r="A53" s="71">
        <v>10</v>
      </c>
      <c r="B53" s="56" t="s">
        <v>180</v>
      </c>
      <c r="C53" s="91">
        <v>100</v>
      </c>
      <c r="D53" s="91"/>
      <c r="E53" s="91">
        <v>100</v>
      </c>
      <c r="F53" s="83"/>
    </row>
    <row r="54" spans="1:6">
      <c r="A54" s="71">
        <v>11</v>
      </c>
      <c r="B54" s="56" t="s">
        <v>181</v>
      </c>
      <c r="C54" s="91">
        <v>1800</v>
      </c>
      <c r="D54" s="91"/>
      <c r="E54" s="91">
        <v>1800</v>
      </c>
      <c r="F54" s="83"/>
    </row>
    <row r="55" spans="1:6">
      <c r="A55" s="71">
        <v>12</v>
      </c>
      <c r="B55" s="56" t="s">
        <v>182</v>
      </c>
      <c r="C55" s="91">
        <v>6200</v>
      </c>
      <c r="D55" s="91"/>
      <c r="E55" s="91">
        <v>6200</v>
      </c>
      <c r="F55" s="83"/>
    </row>
    <row r="56" spans="1:6">
      <c r="A56" s="71">
        <v>13</v>
      </c>
      <c r="B56" s="56" t="s">
        <v>183</v>
      </c>
      <c r="C56" s="91">
        <v>4286</v>
      </c>
      <c r="D56" s="91"/>
      <c r="E56" s="91">
        <v>4286</v>
      </c>
      <c r="F56" s="83"/>
    </row>
    <row r="57" spans="1:6" ht="31.5">
      <c r="A57" s="71">
        <v>14</v>
      </c>
      <c r="B57" s="56" t="s">
        <v>184</v>
      </c>
      <c r="C57" s="91">
        <v>825</v>
      </c>
      <c r="D57" s="91"/>
      <c r="E57" s="91">
        <v>825</v>
      </c>
      <c r="F57" s="83"/>
    </row>
    <row r="58" spans="1:6">
      <c r="A58" s="71">
        <v>15</v>
      </c>
      <c r="B58" s="56" t="s">
        <v>185</v>
      </c>
      <c r="C58" s="91">
        <v>2910</v>
      </c>
      <c r="D58" s="91"/>
      <c r="E58" s="91">
        <v>2910</v>
      </c>
      <c r="F58" s="83"/>
    </row>
    <row r="59" spans="1:6">
      <c r="A59" s="71">
        <v>16</v>
      </c>
      <c r="B59" s="56" t="s">
        <v>186</v>
      </c>
      <c r="C59" s="91">
        <v>5600</v>
      </c>
      <c r="D59" s="91"/>
      <c r="E59" s="91">
        <v>5600</v>
      </c>
      <c r="F59" s="83"/>
    </row>
    <row r="60" spans="1:6">
      <c r="A60" s="71">
        <v>17</v>
      </c>
      <c r="B60" s="56" t="s">
        <v>187</v>
      </c>
      <c r="C60" s="91">
        <v>700</v>
      </c>
      <c r="D60" s="91"/>
      <c r="E60" s="91">
        <v>700</v>
      </c>
      <c r="F60" s="83"/>
    </row>
    <row r="61" spans="1:6">
      <c r="A61" s="71">
        <v>18</v>
      </c>
      <c r="B61" s="56" t="s">
        <v>188</v>
      </c>
      <c r="C61" s="91">
        <v>1386</v>
      </c>
      <c r="D61" s="91"/>
      <c r="E61" s="91">
        <v>1386</v>
      </c>
      <c r="F61" s="83"/>
    </row>
    <row r="62" spans="1:6" ht="31.5">
      <c r="A62" s="71">
        <v>19</v>
      </c>
      <c r="B62" s="56" t="s">
        <v>189</v>
      </c>
      <c r="C62" s="91">
        <v>575</v>
      </c>
      <c r="D62" s="91"/>
      <c r="E62" s="91">
        <v>575</v>
      </c>
      <c r="F62" s="83"/>
    </row>
    <row r="63" spans="1:6">
      <c r="A63" s="71">
        <v>20</v>
      </c>
      <c r="B63" s="56" t="s">
        <v>190</v>
      </c>
      <c r="C63" s="91">
        <v>9327</v>
      </c>
      <c r="D63" s="91"/>
      <c r="E63" s="91">
        <v>9327</v>
      </c>
      <c r="F63" s="83"/>
    </row>
    <row r="64" spans="1:6">
      <c r="A64" s="71">
        <v>21</v>
      </c>
      <c r="B64" s="56" t="s">
        <v>191</v>
      </c>
      <c r="C64" s="91">
        <v>11430</v>
      </c>
      <c r="D64" s="91"/>
      <c r="E64" s="91">
        <v>11430</v>
      </c>
      <c r="F64" s="83"/>
    </row>
    <row r="65" spans="1:6" ht="31.5">
      <c r="A65" s="71">
        <v>22</v>
      </c>
      <c r="B65" s="56" t="s">
        <v>192</v>
      </c>
      <c r="C65" s="91">
        <v>15000</v>
      </c>
      <c r="D65" s="91"/>
      <c r="E65" s="91">
        <v>15000</v>
      </c>
      <c r="F65" s="83"/>
    </row>
    <row r="66" spans="1:6" ht="31.5">
      <c r="A66" s="71">
        <v>23</v>
      </c>
      <c r="B66" s="56" t="s">
        <v>193</v>
      </c>
      <c r="C66" s="91">
        <v>250</v>
      </c>
      <c r="D66" s="91"/>
      <c r="E66" s="91">
        <v>250</v>
      </c>
      <c r="F66" s="83"/>
    </row>
    <row r="67" spans="1:6" ht="31.5">
      <c r="A67" s="71">
        <v>24</v>
      </c>
      <c r="B67" s="56" t="s">
        <v>194</v>
      </c>
      <c r="C67" s="91">
        <v>30100</v>
      </c>
      <c r="D67" s="91"/>
      <c r="E67" s="91">
        <v>30100</v>
      </c>
      <c r="F67" s="83"/>
    </row>
    <row r="68" spans="1:6" ht="31.5">
      <c r="A68" s="119">
        <v>25</v>
      </c>
      <c r="B68" s="61" t="s">
        <v>195</v>
      </c>
      <c r="C68" s="92">
        <v>33820</v>
      </c>
      <c r="D68" s="92"/>
      <c r="E68" s="92">
        <v>33820</v>
      </c>
      <c r="F68" s="83"/>
    </row>
  </sheetData>
  <mergeCells count="8">
    <mergeCell ref="A7:A8"/>
    <mergeCell ref="B7:B8"/>
    <mergeCell ref="C7:C8"/>
    <mergeCell ref="D7:E7"/>
    <mergeCell ref="A1:B1"/>
    <mergeCell ref="A3:E3"/>
    <mergeCell ref="A4:E4"/>
    <mergeCell ref="A6:E6"/>
  </mergeCells>
  <pageMargins left="0.79" right="0.27559055118110237" top="0.70866141732283472" bottom="0.63" header="0.31496062992125984" footer="0.23622047244094491"/>
  <pageSetup paperSize="9" orientation="portrait" horizontalDpi="1200" verticalDpi="1200" r:id="rId1"/>
  <headerFooter>
    <oddHeader>&amp;R&amp;"+,thường"&amp;12Mẫu số 17/CKTC-NSĐP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00B050"/>
  </sheetPr>
  <dimension ref="A1:H18"/>
  <sheetViews>
    <sheetView workbookViewId="0">
      <selection sqref="A1:B1"/>
    </sheetView>
  </sheetViews>
  <sheetFormatPr defaultColWidth="9" defaultRowHeight="15.75"/>
  <cols>
    <col min="1" max="1" width="5.625" style="40" customWidth="1"/>
    <col min="2" max="2" width="36.375" style="13" customWidth="1"/>
    <col min="3" max="3" width="18.25" style="41" customWidth="1"/>
    <col min="4" max="4" width="16" style="41" customWidth="1"/>
    <col min="5" max="5" width="12" style="41" customWidth="1"/>
    <col min="6" max="6" width="12.625" style="7" customWidth="1"/>
    <col min="7" max="7" width="13.25" style="7" customWidth="1"/>
    <col min="8" max="8" width="16.125" style="7" customWidth="1"/>
    <col min="9" max="16384" width="9" style="7"/>
  </cols>
  <sheetData>
    <row r="1" spans="1:8" s="12" customFormat="1" ht="15.75" customHeight="1">
      <c r="A1" s="101" t="s">
        <v>209</v>
      </c>
      <c r="B1" s="102"/>
      <c r="C1" s="37"/>
      <c r="D1" s="37"/>
      <c r="E1" s="37"/>
    </row>
    <row r="2" spans="1:8" s="12" customFormat="1">
      <c r="A2" s="101"/>
      <c r="B2" s="102"/>
      <c r="C2" s="37"/>
      <c r="D2" s="37"/>
      <c r="E2" s="37"/>
    </row>
    <row r="3" spans="1:8" s="12" customFormat="1">
      <c r="A3" s="38"/>
      <c r="B3" s="15"/>
      <c r="C3" s="37"/>
      <c r="D3" s="37"/>
      <c r="E3" s="37"/>
    </row>
    <row r="5" spans="1:8" s="39" customFormat="1" ht="18.75">
      <c r="A5" s="93" t="s">
        <v>196</v>
      </c>
      <c r="B5" s="103"/>
      <c r="C5" s="103"/>
      <c r="D5" s="104"/>
      <c r="E5" s="104"/>
      <c r="F5" s="94"/>
      <c r="G5" s="94"/>
      <c r="H5" s="94"/>
    </row>
    <row r="6" spans="1:8">
      <c r="A6" s="95"/>
      <c r="B6" s="105"/>
      <c r="C6" s="105"/>
      <c r="D6" s="94"/>
      <c r="E6" s="94"/>
      <c r="F6" s="94"/>
      <c r="G6" s="94"/>
      <c r="H6" s="94"/>
    </row>
    <row r="8" spans="1:8">
      <c r="A8" s="106" t="s">
        <v>0</v>
      </c>
      <c r="B8" s="107"/>
      <c r="C8" s="107"/>
      <c r="D8" s="108"/>
      <c r="E8" s="109"/>
      <c r="F8" s="110"/>
      <c r="G8" s="110"/>
      <c r="H8" s="110"/>
    </row>
    <row r="9" spans="1:8" s="28" customFormat="1" ht="18.75">
      <c r="A9" s="111" t="s">
        <v>1</v>
      </c>
      <c r="B9" s="111" t="s">
        <v>197</v>
      </c>
      <c r="C9" s="112" t="s">
        <v>99</v>
      </c>
      <c r="D9" s="112" t="s">
        <v>100</v>
      </c>
      <c r="E9" s="112" t="s">
        <v>101</v>
      </c>
      <c r="F9" s="113"/>
      <c r="G9" s="113"/>
      <c r="H9" s="113"/>
    </row>
    <row r="10" spans="1:8" s="28" customFormat="1" ht="37.5">
      <c r="A10" s="111"/>
      <c r="B10" s="111"/>
      <c r="C10" s="112"/>
      <c r="D10" s="112"/>
      <c r="E10" s="42" t="s">
        <v>102</v>
      </c>
      <c r="F10" s="29" t="s">
        <v>103</v>
      </c>
      <c r="G10" s="29" t="s">
        <v>104</v>
      </c>
      <c r="H10" s="29" t="s">
        <v>198</v>
      </c>
    </row>
    <row r="11" spans="1:8" s="19" customFormat="1" ht="18.75">
      <c r="A11" s="17"/>
      <c r="B11" s="18" t="s">
        <v>102</v>
      </c>
      <c r="C11" s="43">
        <v>474829</v>
      </c>
      <c r="D11" s="43">
        <v>1177857</v>
      </c>
      <c r="E11" s="43">
        <v>703030</v>
      </c>
      <c r="F11" s="43">
        <v>395816</v>
      </c>
      <c r="G11" s="43">
        <v>16306</v>
      </c>
      <c r="H11" s="43">
        <v>290908</v>
      </c>
    </row>
    <row r="12" spans="1:8" s="16" customFormat="1" ht="18.75">
      <c r="A12" s="120">
        <v>1</v>
      </c>
      <c r="B12" s="20" t="s">
        <v>105</v>
      </c>
      <c r="C12" s="44">
        <v>303049</v>
      </c>
      <c r="D12" s="44">
        <v>324561</v>
      </c>
      <c r="E12" s="44">
        <v>21512</v>
      </c>
      <c r="F12" s="21">
        <v>11140</v>
      </c>
      <c r="G12" s="21">
        <v>10372</v>
      </c>
      <c r="H12" s="21"/>
    </row>
    <row r="13" spans="1:8" s="16" customFormat="1" ht="18.75">
      <c r="A13" s="121">
        <v>2</v>
      </c>
      <c r="B13" s="22" t="s">
        <v>106</v>
      </c>
      <c r="C13" s="45">
        <v>22800</v>
      </c>
      <c r="D13" s="45">
        <v>218615</v>
      </c>
      <c r="E13" s="45">
        <v>195815</v>
      </c>
      <c r="F13" s="23">
        <v>115690</v>
      </c>
      <c r="G13" s="23">
        <v>5212</v>
      </c>
      <c r="H13" s="23">
        <v>74913</v>
      </c>
    </row>
    <row r="14" spans="1:8" s="16" customFormat="1" ht="18.75">
      <c r="A14" s="121">
        <v>3</v>
      </c>
      <c r="B14" s="22" t="s">
        <v>107</v>
      </c>
      <c r="C14" s="45">
        <v>35900</v>
      </c>
      <c r="D14" s="45">
        <v>159155</v>
      </c>
      <c r="E14" s="45">
        <v>123255</v>
      </c>
      <c r="F14" s="23">
        <v>70298</v>
      </c>
      <c r="G14" s="23">
        <v>164</v>
      </c>
      <c r="H14" s="23">
        <v>52793</v>
      </c>
    </row>
    <row r="15" spans="1:8" s="16" customFormat="1" ht="18.75">
      <c r="A15" s="121">
        <v>4</v>
      </c>
      <c r="B15" s="22" t="s">
        <v>108</v>
      </c>
      <c r="C15" s="45">
        <v>76000</v>
      </c>
      <c r="D15" s="45">
        <v>158881</v>
      </c>
      <c r="E15" s="45">
        <v>82882</v>
      </c>
      <c r="F15" s="23">
        <v>30200</v>
      </c>
      <c r="G15" s="23">
        <v>196</v>
      </c>
      <c r="H15" s="23">
        <v>52486</v>
      </c>
    </row>
    <row r="16" spans="1:8" s="16" customFormat="1" ht="18.75">
      <c r="A16" s="121">
        <v>5</v>
      </c>
      <c r="B16" s="22" t="s">
        <v>111</v>
      </c>
      <c r="C16" s="45">
        <v>7480</v>
      </c>
      <c r="D16" s="45">
        <v>105793</v>
      </c>
      <c r="E16" s="45">
        <v>98313</v>
      </c>
      <c r="F16" s="23">
        <v>58838</v>
      </c>
      <c r="G16" s="23">
        <v>128</v>
      </c>
      <c r="H16" s="23">
        <v>39347</v>
      </c>
    </row>
    <row r="17" spans="1:8" s="16" customFormat="1" ht="18.75">
      <c r="A17" s="121">
        <v>6</v>
      </c>
      <c r="B17" s="22" t="s">
        <v>110</v>
      </c>
      <c r="C17" s="45">
        <v>11500</v>
      </c>
      <c r="D17" s="45">
        <v>97043</v>
      </c>
      <c r="E17" s="45">
        <v>85544</v>
      </c>
      <c r="F17" s="23">
        <v>52305</v>
      </c>
      <c r="G17" s="23">
        <v>107</v>
      </c>
      <c r="H17" s="23">
        <v>33132</v>
      </c>
    </row>
    <row r="18" spans="1:8" s="16" customFormat="1" ht="18.75">
      <c r="A18" s="122">
        <v>7</v>
      </c>
      <c r="B18" s="25" t="s">
        <v>109</v>
      </c>
      <c r="C18" s="46">
        <v>18100</v>
      </c>
      <c r="D18" s="46">
        <v>113809</v>
      </c>
      <c r="E18" s="46">
        <v>95709</v>
      </c>
      <c r="F18" s="26">
        <v>57345</v>
      </c>
      <c r="G18" s="26">
        <v>127</v>
      </c>
      <c r="H18" s="26">
        <v>38237</v>
      </c>
    </row>
  </sheetData>
  <mergeCells count="10">
    <mergeCell ref="A9:A10"/>
    <mergeCell ref="B9:B10"/>
    <mergeCell ref="C9:C10"/>
    <mergeCell ref="D9:D10"/>
    <mergeCell ref="E9:H9"/>
    <mergeCell ref="A1:B1"/>
    <mergeCell ref="A2:B2"/>
    <mergeCell ref="A5:H5"/>
    <mergeCell ref="A6:H6"/>
    <mergeCell ref="A8:H8"/>
  </mergeCells>
  <pageMargins left="0.73" right="0.19" top="0.70866141732283472" bottom="0.51181102362204722" header="0.31496062992125984" footer="0.23622047244094491"/>
  <pageSetup paperSize="9" orientation="landscape" horizontalDpi="1200" verticalDpi="1200" r:id="rId1"/>
  <headerFooter>
    <oddHeader>&amp;R&amp;"+,thường"&amp;12Mẫu số 18/CKTC-NSĐP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00B050"/>
  </sheetPr>
  <dimension ref="A1:I43"/>
  <sheetViews>
    <sheetView workbookViewId="0">
      <selection sqref="A1:B1"/>
    </sheetView>
  </sheetViews>
  <sheetFormatPr defaultColWidth="9" defaultRowHeight="15.75"/>
  <cols>
    <col min="1" max="1" width="7.25" style="40" customWidth="1"/>
    <col min="2" max="2" width="45.25" style="13" customWidth="1"/>
    <col min="3" max="3" width="15.125" style="41" customWidth="1"/>
    <col min="4" max="4" width="11.875" style="41" customWidth="1"/>
    <col min="5" max="6" width="11.125" style="41" customWidth="1"/>
    <col min="7" max="7" width="10.375" style="7" customWidth="1"/>
    <col min="8" max="8" width="11.75" style="7" customWidth="1"/>
    <col min="9" max="9" width="10.875" style="7" customWidth="1"/>
    <col min="10" max="16384" width="9" style="7"/>
  </cols>
  <sheetData>
    <row r="1" spans="1:9" s="12" customFormat="1" ht="15.75" customHeight="1">
      <c r="A1" s="101" t="s">
        <v>209</v>
      </c>
      <c r="B1" s="102"/>
      <c r="C1" s="37"/>
      <c r="D1" s="37"/>
      <c r="E1" s="37"/>
      <c r="F1" s="37"/>
    </row>
    <row r="2" spans="1:9" s="12" customFormat="1">
      <c r="A2" s="101"/>
      <c r="B2" s="102"/>
      <c r="C2" s="37"/>
      <c r="D2" s="37"/>
      <c r="E2" s="37"/>
      <c r="F2" s="37"/>
    </row>
    <row r="3" spans="1:9" s="39" customFormat="1" ht="36.75" customHeight="1">
      <c r="A3" s="93" t="s">
        <v>199</v>
      </c>
      <c r="B3" s="94"/>
      <c r="C3" s="94"/>
      <c r="D3" s="94"/>
      <c r="E3" s="94"/>
      <c r="F3" s="94"/>
      <c r="G3" s="94"/>
      <c r="H3" s="94"/>
      <c r="I3" s="94"/>
    </row>
    <row r="5" spans="1:9">
      <c r="A5" s="106" t="s">
        <v>200</v>
      </c>
      <c r="B5" s="107"/>
      <c r="C5" s="109"/>
      <c r="D5" s="114"/>
      <c r="E5" s="114"/>
      <c r="F5" s="114"/>
      <c r="G5" s="110"/>
      <c r="H5" s="110"/>
      <c r="I5" s="110"/>
    </row>
    <row r="6" spans="1:9" s="28" customFormat="1" ht="18.75">
      <c r="A6" s="111" t="s">
        <v>1</v>
      </c>
      <c r="B6" s="111" t="s">
        <v>201</v>
      </c>
      <c r="C6" s="112" t="s">
        <v>202</v>
      </c>
      <c r="D6" s="112"/>
      <c r="E6" s="112"/>
      <c r="F6" s="112"/>
      <c r="G6" s="113"/>
      <c r="H6" s="113"/>
      <c r="I6" s="113"/>
    </row>
    <row r="7" spans="1:9" s="28" customFormat="1" ht="56.25">
      <c r="A7" s="111"/>
      <c r="B7" s="111"/>
      <c r="C7" s="42" t="s">
        <v>105</v>
      </c>
      <c r="D7" s="42" t="s">
        <v>106</v>
      </c>
      <c r="E7" s="42" t="s">
        <v>107</v>
      </c>
      <c r="F7" s="42" t="s">
        <v>108</v>
      </c>
      <c r="G7" s="29" t="s">
        <v>111</v>
      </c>
      <c r="H7" s="29" t="s">
        <v>109</v>
      </c>
      <c r="I7" s="29" t="s">
        <v>110</v>
      </c>
    </row>
    <row r="8" spans="1:9" s="16" customFormat="1" ht="18.75">
      <c r="A8" s="123">
        <v>1</v>
      </c>
      <c r="B8" s="47" t="s">
        <v>24</v>
      </c>
      <c r="C8" s="48"/>
      <c r="D8" s="48"/>
      <c r="E8" s="48"/>
      <c r="F8" s="48"/>
      <c r="G8" s="49"/>
      <c r="H8" s="49"/>
      <c r="I8" s="49"/>
    </row>
    <row r="9" spans="1:9" s="16" customFormat="1" ht="18.75">
      <c r="A9" s="121"/>
      <c r="B9" s="24" t="s">
        <v>25</v>
      </c>
      <c r="C9" s="45">
        <v>30</v>
      </c>
      <c r="D9" s="45">
        <v>100</v>
      </c>
      <c r="E9" s="45">
        <v>100</v>
      </c>
      <c r="F9" s="45">
        <v>100</v>
      </c>
      <c r="G9" s="45">
        <v>100</v>
      </c>
      <c r="H9" s="45">
        <v>100</v>
      </c>
      <c r="I9" s="45">
        <v>100</v>
      </c>
    </row>
    <row r="10" spans="1:9" s="16" customFormat="1" ht="18.75">
      <c r="A10" s="121"/>
      <c r="B10" s="24" t="s">
        <v>26</v>
      </c>
      <c r="C10" s="45">
        <v>30</v>
      </c>
      <c r="D10" s="45">
        <v>100</v>
      </c>
      <c r="E10" s="45">
        <v>100</v>
      </c>
      <c r="F10" s="45">
        <v>100</v>
      </c>
      <c r="G10" s="45">
        <v>100</v>
      </c>
      <c r="H10" s="45">
        <v>100</v>
      </c>
      <c r="I10" s="45">
        <v>100</v>
      </c>
    </row>
    <row r="11" spans="1:9" s="16" customFormat="1" ht="37.5">
      <c r="A11" s="121"/>
      <c r="B11" s="24" t="s">
        <v>27</v>
      </c>
      <c r="C11" s="45">
        <v>30</v>
      </c>
      <c r="D11" s="45">
        <v>100</v>
      </c>
      <c r="E11" s="45">
        <v>100</v>
      </c>
      <c r="F11" s="45">
        <v>100</v>
      </c>
      <c r="G11" s="45">
        <v>100</v>
      </c>
      <c r="H11" s="45">
        <v>100</v>
      </c>
      <c r="I11" s="45">
        <v>100</v>
      </c>
    </row>
    <row r="12" spans="1:9" s="16" customFormat="1" ht="18.75">
      <c r="A12" s="121"/>
      <c r="B12" s="24" t="s">
        <v>28</v>
      </c>
      <c r="C12" s="45">
        <v>100</v>
      </c>
      <c r="D12" s="45">
        <v>100</v>
      </c>
      <c r="E12" s="45">
        <v>100</v>
      </c>
      <c r="F12" s="45">
        <v>100</v>
      </c>
      <c r="G12" s="45">
        <v>100</v>
      </c>
      <c r="H12" s="45">
        <v>100</v>
      </c>
      <c r="I12" s="45">
        <v>100</v>
      </c>
    </row>
    <row r="13" spans="1:9" s="16" customFormat="1" ht="18.75">
      <c r="A13" s="121"/>
      <c r="B13" s="24" t="s">
        <v>29</v>
      </c>
      <c r="C13" s="45">
        <v>30</v>
      </c>
      <c r="D13" s="45">
        <v>100</v>
      </c>
      <c r="E13" s="45">
        <v>100</v>
      </c>
      <c r="F13" s="45">
        <v>100</v>
      </c>
      <c r="G13" s="45">
        <v>100</v>
      </c>
      <c r="H13" s="45">
        <v>100</v>
      </c>
      <c r="I13" s="45">
        <v>100</v>
      </c>
    </row>
    <row r="14" spans="1:9" s="16" customFormat="1" ht="18.75">
      <c r="A14" s="121">
        <v>2</v>
      </c>
      <c r="B14" s="22" t="s">
        <v>30</v>
      </c>
      <c r="C14" s="45"/>
      <c r="D14" s="45"/>
      <c r="E14" s="45"/>
      <c r="F14" s="45"/>
      <c r="G14" s="30"/>
      <c r="H14" s="30"/>
      <c r="I14" s="30"/>
    </row>
    <row r="15" spans="1:9" s="16" customFormat="1" ht="18.75">
      <c r="A15" s="121"/>
      <c r="B15" s="24" t="s">
        <v>25</v>
      </c>
      <c r="C15" s="45">
        <v>30</v>
      </c>
      <c r="D15" s="45">
        <v>100</v>
      </c>
      <c r="E15" s="45">
        <v>100</v>
      </c>
      <c r="F15" s="45">
        <v>100</v>
      </c>
      <c r="G15" s="45">
        <v>100</v>
      </c>
      <c r="H15" s="45">
        <v>100</v>
      </c>
      <c r="I15" s="45">
        <v>100</v>
      </c>
    </row>
    <row r="16" spans="1:9" s="16" customFormat="1" ht="18.75">
      <c r="A16" s="121"/>
      <c r="B16" s="24" t="s">
        <v>26</v>
      </c>
      <c r="C16" s="45">
        <v>30</v>
      </c>
      <c r="D16" s="45">
        <v>100</v>
      </c>
      <c r="E16" s="45">
        <v>100</v>
      </c>
      <c r="F16" s="45">
        <v>100</v>
      </c>
      <c r="G16" s="45">
        <v>100</v>
      </c>
      <c r="H16" s="45">
        <v>100</v>
      </c>
      <c r="I16" s="45">
        <v>100</v>
      </c>
    </row>
    <row r="17" spans="1:9" s="16" customFormat="1" ht="37.5">
      <c r="A17" s="121"/>
      <c r="B17" s="24" t="s">
        <v>27</v>
      </c>
      <c r="C17" s="45">
        <v>30</v>
      </c>
      <c r="D17" s="45">
        <v>100</v>
      </c>
      <c r="E17" s="45">
        <v>100</v>
      </c>
      <c r="F17" s="45">
        <v>100</v>
      </c>
      <c r="G17" s="45">
        <v>100</v>
      </c>
      <c r="H17" s="45">
        <v>100</v>
      </c>
      <c r="I17" s="45">
        <v>100</v>
      </c>
    </row>
    <row r="18" spans="1:9" s="16" customFormat="1" ht="18.75">
      <c r="A18" s="121"/>
      <c r="B18" s="24" t="s">
        <v>28</v>
      </c>
      <c r="C18" s="45">
        <v>100</v>
      </c>
      <c r="D18" s="45">
        <v>100</v>
      </c>
      <c r="E18" s="45">
        <v>100</v>
      </c>
      <c r="F18" s="45">
        <v>100</v>
      </c>
      <c r="G18" s="45">
        <v>100</v>
      </c>
      <c r="H18" s="45">
        <v>100</v>
      </c>
      <c r="I18" s="45">
        <v>100</v>
      </c>
    </row>
    <row r="19" spans="1:9" s="16" customFormat="1" ht="18.75">
      <c r="A19" s="121"/>
      <c r="B19" s="24" t="s">
        <v>29</v>
      </c>
      <c r="C19" s="45">
        <v>100</v>
      </c>
      <c r="D19" s="45">
        <v>100</v>
      </c>
      <c r="E19" s="45">
        <v>100</v>
      </c>
      <c r="F19" s="45">
        <v>100</v>
      </c>
      <c r="G19" s="45">
        <v>100</v>
      </c>
      <c r="H19" s="45">
        <v>100</v>
      </c>
      <c r="I19" s="45">
        <v>100</v>
      </c>
    </row>
    <row r="20" spans="1:9" s="16" customFormat="1" ht="18.75">
      <c r="A20" s="121"/>
      <c r="B20" s="24" t="s">
        <v>203</v>
      </c>
      <c r="C20" s="45"/>
      <c r="D20" s="45">
        <v>100</v>
      </c>
      <c r="E20" s="45">
        <v>100</v>
      </c>
      <c r="F20" s="45">
        <v>100</v>
      </c>
      <c r="G20" s="45">
        <v>100</v>
      </c>
      <c r="H20" s="45">
        <v>100</v>
      </c>
      <c r="I20" s="45">
        <v>100</v>
      </c>
    </row>
    <row r="21" spans="1:9" s="16" customFormat="1" ht="37.5">
      <c r="A21" s="121">
        <v>3</v>
      </c>
      <c r="B21" s="22" t="s">
        <v>31</v>
      </c>
      <c r="C21" s="45"/>
      <c r="D21" s="45"/>
      <c r="E21" s="45"/>
      <c r="F21" s="45"/>
      <c r="G21" s="30"/>
      <c r="H21" s="30"/>
      <c r="I21" s="30"/>
    </row>
    <row r="22" spans="1:9" s="16" customFormat="1" ht="18.75">
      <c r="A22" s="121"/>
      <c r="B22" s="24" t="s">
        <v>25</v>
      </c>
      <c r="C22" s="45">
        <v>30</v>
      </c>
      <c r="D22" s="45">
        <v>100</v>
      </c>
      <c r="E22" s="45">
        <v>100</v>
      </c>
      <c r="F22" s="45">
        <v>100</v>
      </c>
      <c r="G22" s="45">
        <v>100</v>
      </c>
      <c r="H22" s="45">
        <v>100</v>
      </c>
      <c r="I22" s="45">
        <v>100</v>
      </c>
    </row>
    <row r="23" spans="1:9" s="16" customFormat="1" ht="18.75">
      <c r="A23" s="121"/>
      <c r="B23" s="24" t="s">
        <v>26</v>
      </c>
      <c r="C23" s="45">
        <v>30</v>
      </c>
      <c r="D23" s="45">
        <v>100</v>
      </c>
      <c r="E23" s="45">
        <v>100</v>
      </c>
      <c r="F23" s="45">
        <v>100</v>
      </c>
      <c r="G23" s="45">
        <v>100</v>
      </c>
      <c r="H23" s="45">
        <v>100</v>
      </c>
      <c r="I23" s="45">
        <v>100</v>
      </c>
    </row>
    <row r="24" spans="1:9" s="16" customFormat="1" ht="37.5">
      <c r="A24" s="121"/>
      <c r="B24" s="24" t="s">
        <v>27</v>
      </c>
      <c r="C24" s="45">
        <v>30</v>
      </c>
      <c r="D24" s="45">
        <v>100</v>
      </c>
      <c r="E24" s="45">
        <v>100</v>
      </c>
      <c r="F24" s="45">
        <v>100</v>
      </c>
      <c r="G24" s="45">
        <v>100</v>
      </c>
      <c r="H24" s="45">
        <v>100</v>
      </c>
      <c r="I24" s="45">
        <v>100</v>
      </c>
    </row>
    <row r="25" spans="1:9" s="16" customFormat="1" ht="18.75">
      <c r="A25" s="121"/>
      <c r="B25" s="24" t="s">
        <v>29</v>
      </c>
      <c r="C25" s="45">
        <v>100</v>
      </c>
      <c r="D25" s="45">
        <v>100</v>
      </c>
      <c r="E25" s="45">
        <v>100</v>
      </c>
      <c r="F25" s="45">
        <v>100</v>
      </c>
      <c r="G25" s="45">
        <v>100</v>
      </c>
      <c r="H25" s="45">
        <v>100</v>
      </c>
      <c r="I25" s="45">
        <v>100</v>
      </c>
    </row>
    <row r="26" spans="1:9" s="16" customFormat="1" ht="18.75">
      <c r="A26" s="121"/>
      <c r="B26" s="24" t="s">
        <v>32</v>
      </c>
      <c r="C26" s="45"/>
      <c r="D26" s="45">
        <v>100</v>
      </c>
      <c r="E26" s="45">
        <v>100</v>
      </c>
      <c r="F26" s="45">
        <v>100</v>
      </c>
      <c r="G26" s="45">
        <v>100</v>
      </c>
      <c r="H26" s="45">
        <v>100</v>
      </c>
      <c r="I26" s="45">
        <v>100</v>
      </c>
    </row>
    <row r="27" spans="1:9" s="16" customFormat="1" ht="18.75">
      <c r="A27" s="121"/>
      <c r="B27" s="24" t="s">
        <v>28</v>
      </c>
      <c r="C27" s="45">
        <v>100</v>
      </c>
      <c r="D27" s="45">
        <v>100</v>
      </c>
      <c r="E27" s="45">
        <v>100</v>
      </c>
      <c r="F27" s="45">
        <v>100</v>
      </c>
      <c r="G27" s="45">
        <v>100</v>
      </c>
      <c r="H27" s="45">
        <v>100</v>
      </c>
      <c r="I27" s="45">
        <v>100</v>
      </c>
    </row>
    <row r="28" spans="1:9" s="16" customFormat="1" ht="18.75">
      <c r="A28" s="121"/>
      <c r="B28" s="24" t="s">
        <v>34</v>
      </c>
      <c r="C28" s="45">
        <v>100</v>
      </c>
      <c r="D28" s="45">
        <v>100</v>
      </c>
      <c r="E28" s="45">
        <v>100</v>
      </c>
      <c r="F28" s="45">
        <v>100</v>
      </c>
      <c r="G28" s="45">
        <v>100</v>
      </c>
      <c r="H28" s="45">
        <v>100</v>
      </c>
      <c r="I28" s="45">
        <v>100</v>
      </c>
    </row>
    <row r="29" spans="1:9" s="16" customFormat="1" ht="37.5">
      <c r="A29" s="121">
        <v>4</v>
      </c>
      <c r="B29" s="22" t="s">
        <v>204</v>
      </c>
      <c r="C29" s="45"/>
      <c r="D29" s="45"/>
      <c r="E29" s="45"/>
      <c r="F29" s="45"/>
      <c r="G29" s="30"/>
      <c r="H29" s="30"/>
      <c r="I29" s="30"/>
    </row>
    <row r="30" spans="1:9" s="16" customFormat="1" ht="18.75">
      <c r="A30" s="121"/>
      <c r="B30" s="24" t="s">
        <v>25</v>
      </c>
      <c r="C30" s="45">
        <v>30</v>
      </c>
      <c r="D30" s="45">
        <v>100</v>
      </c>
      <c r="E30" s="45">
        <v>100</v>
      </c>
      <c r="F30" s="45">
        <v>100</v>
      </c>
      <c r="G30" s="45">
        <v>100</v>
      </c>
      <c r="H30" s="45">
        <v>100</v>
      </c>
      <c r="I30" s="45">
        <v>100</v>
      </c>
    </row>
    <row r="31" spans="1:9" s="16" customFormat="1" ht="18.75">
      <c r="A31" s="121"/>
      <c r="B31" s="24" t="s">
        <v>26</v>
      </c>
      <c r="C31" s="45">
        <v>30</v>
      </c>
      <c r="D31" s="45">
        <v>100</v>
      </c>
      <c r="E31" s="45">
        <v>100</v>
      </c>
      <c r="F31" s="45">
        <v>100</v>
      </c>
      <c r="G31" s="45">
        <v>100</v>
      </c>
      <c r="H31" s="45">
        <v>100</v>
      </c>
      <c r="I31" s="45">
        <v>100</v>
      </c>
    </row>
    <row r="32" spans="1:9" s="16" customFormat="1" ht="37.5">
      <c r="A32" s="121"/>
      <c r="B32" s="24" t="s">
        <v>27</v>
      </c>
      <c r="C32" s="45">
        <v>30</v>
      </c>
      <c r="D32" s="45">
        <v>100</v>
      </c>
      <c r="E32" s="45">
        <v>100</v>
      </c>
      <c r="F32" s="45">
        <v>100</v>
      </c>
      <c r="G32" s="45">
        <v>100</v>
      </c>
      <c r="H32" s="45">
        <v>100</v>
      </c>
      <c r="I32" s="45">
        <v>100</v>
      </c>
    </row>
    <row r="33" spans="1:9" s="16" customFormat="1" ht="18.75">
      <c r="A33" s="121"/>
      <c r="B33" s="24" t="s">
        <v>28</v>
      </c>
      <c r="C33" s="45">
        <v>100</v>
      </c>
      <c r="D33" s="45">
        <v>100</v>
      </c>
      <c r="E33" s="45">
        <v>100</v>
      </c>
      <c r="F33" s="45">
        <v>100</v>
      </c>
      <c r="G33" s="45">
        <v>100</v>
      </c>
      <c r="H33" s="45">
        <v>100</v>
      </c>
      <c r="I33" s="45">
        <v>100</v>
      </c>
    </row>
    <row r="34" spans="1:9" s="16" customFormat="1" ht="18.75">
      <c r="A34" s="121"/>
      <c r="B34" s="24" t="s">
        <v>29</v>
      </c>
      <c r="C34" s="45">
        <v>100</v>
      </c>
      <c r="D34" s="45">
        <v>100</v>
      </c>
      <c r="E34" s="45">
        <v>100</v>
      </c>
      <c r="F34" s="45">
        <v>100</v>
      </c>
      <c r="G34" s="45">
        <v>100</v>
      </c>
      <c r="H34" s="45">
        <v>100</v>
      </c>
      <c r="I34" s="45">
        <v>100</v>
      </c>
    </row>
    <row r="35" spans="1:9" s="16" customFormat="1" ht="18.75">
      <c r="A35" s="121"/>
      <c r="B35" s="24" t="s">
        <v>34</v>
      </c>
      <c r="C35" s="45">
        <v>100</v>
      </c>
      <c r="D35" s="45">
        <v>100</v>
      </c>
      <c r="E35" s="45">
        <v>100</v>
      </c>
      <c r="F35" s="45">
        <v>100</v>
      </c>
      <c r="G35" s="45">
        <v>100</v>
      </c>
      <c r="H35" s="45">
        <v>100</v>
      </c>
      <c r="I35" s="45">
        <v>100</v>
      </c>
    </row>
    <row r="36" spans="1:9" s="16" customFormat="1" ht="18.75">
      <c r="A36" s="121">
        <v>5</v>
      </c>
      <c r="B36" s="22" t="s">
        <v>35</v>
      </c>
      <c r="C36" s="45">
        <v>70</v>
      </c>
      <c r="D36" s="45">
        <v>100</v>
      </c>
      <c r="E36" s="45">
        <v>100</v>
      </c>
      <c r="F36" s="45">
        <v>100</v>
      </c>
      <c r="G36" s="45">
        <v>100</v>
      </c>
      <c r="H36" s="45">
        <v>100</v>
      </c>
      <c r="I36" s="45">
        <v>100</v>
      </c>
    </row>
    <row r="37" spans="1:9" s="16" customFormat="1" ht="18.75">
      <c r="A37" s="121">
        <v>6</v>
      </c>
      <c r="B37" s="22" t="s">
        <v>36</v>
      </c>
      <c r="C37" s="45">
        <v>100</v>
      </c>
      <c r="D37" s="45">
        <v>100</v>
      </c>
      <c r="E37" s="45">
        <v>100</v>
      </c>
      <c r="F37" s="45">
        <v>100</v>
      </c>
      <c r="G37" s="45">
        <v>100</v>
      </c>
      <c r="H37" s="45">
        <v>100</v>
      </c>
      <c r="I37" s="45">
        <v>100</v>
      </c>
    </row>
    <row r="38" spans="1:9" s="16" customFormat="1" ht="18.75">
      <c r="A38" s="121">
        <v>7</v>
      </c>
      <c r="B38" s="22" t="s">
        <v>205</v>
      </c>
      <c r="C38" s="45">
        <v>100</v>
      </c>
      <c r="D38" s="45">
        <v>100</v>
      </c>
      <c r="E38" s="45">
        <v>100</v>
      </c>
      <c r="F38" s="45">
        <v>100</v>
      </c>
      <c r="G38" s="45">
        <v>100</v>
      </c>
      <c r="H38" s="45">
        <v>100</v>
      </c>
      <c r="I38" s="45">
        <v>100</v>
      </c>
    </row>
    <row r="39" spans="1:9" s="16" customFormat="1" ht="18.75">
      <c r="A39" s="121">
        <v>8</v>
      </c>
      <c r="B39" s="22" t="s">
        <v>38</v>
      </c>
      <c r="C39" s="45">
        <v>100</v>
      </c>
      <c r="D39" s="45">
        <v>100</v>
      </c>
      <c r="E39" s="45">
        <v>100</v>
      </c>
      <c r="F39" s="45">
        <v>100</v>
      </c>
      <c r="G39" s="45">
        <v>100</v>
      </c>
      <c r="H39" s="45">
        <v>100</v>
      </c>
      <c r="I39" s="45">
        <v>100</v>
      </c>
    </row>
    <row r="40" spans="1:9" s="16" customFormat="1" ht="37.5">
      <c r="A40" s="121">
        <v>9</v>
      </c>
      <c r="B40" s="22" t="s">
        <v>206</v>
      </c>
      <c r="C40" s="45">
        <v>100</v>
      </c>
      <c r="D40" s="45">
        <v>100</v>
      </c>
      <c r="E40" s="45">
        <v>100</v>
      </c>
      <c r="F40" s="45">
        <v>100</v>
      </c>
      <c r="G40" s="45">
        <v>100</v>
      </c>
      <c r="H40" s="45">
        <v>100</v>
      </c>
      <c r="I40" s="45">
        <v>100</v>
      </c>
    </row>
    <row r="41" spans="1:9" s="16" customFormat="1" ht="37.5">
      <c r="A41" s="121">
        <v>10</v>
      </c>
      <c r="B41" s="22" t="s">
        <v>207</v>
      </c>
      <c r="C41" s="45">
        <v>100</v>
      </c>
      <c r="D41" s="45">
        <v>100</v>
      </c>
      <c r="E41" s="45">
        <v>100</v>
      </c>
      <c r="F41" s="45">
        <v>100</v>
      </c>
      <c r="G41" s="45">
        <v>100</v>
      </c>
      <c r="H41" s="45">
        <v>100</v>
      </c>
      <c r="I41" s="45">
        <v>100</v>
      </c>
    </row>
    <row r="42" spans="1:9" s="16" customFormat="1" ht="18.75">
      <c r="A42" s="121">
        <v>11</v>
      </c>
      <c r="B42" s="22" t="s">
        <v>45</v>
      </c>
      <c r="C42" s="45">
        <v>100</v>
      </c>
      <c r="D42" s="45">
        <v>100</v>
      </c>
      <c r="E42" s="45">
        <v>100</v>
      </c>
      <c r="F42" s="45">
        <v>100</v>
      </c>
      <c r="G42" s="45">
        <v>100</v>
      </c>
      <c r="H42" s="45">
        <v>100</v>
      </c>
      <c r="I42" s="45">
        <v>100</v>
      </c>
    </row>
    <row r="43" spans="1:9" s="16" customFormat="1" ht="18.75">
      <c r="A43" s="122">
        <v>12</v>
      </c>
      <c r="B43" s="25" t="s">
        <v>208</v>
      </c>
      <c r="C43" s="46">
        <v>100</v>
      </c>
      <c r="D43" s="46">
        <v>100</v>
      </c>
      <c r="E43" s="46">
        <v>100</v>
      </c>
      <c r="F43" s="46">
        <v>100</v>
      </c>
      <c r="G43" s="46">
        <v>100</v>
      </c>
      <c r="H43" s="46">
        <v>100</v>
      </c>
      <c r="I43" s="46">
        <v>100</v>
      </c>
    </row>
  </sheetData>
  <mergeCells count="7">
    <mergeCell ref="A6:A7"/>
    <mergeCell ref="B6:B7"/>
    <mergeCell ref="C6:I6"/>
    <mergeCell ref="A1:B1"/>
    <mergeCell ref="A2:B2"/>
    <mergeCell ref="A3:I3"/>
    <mergeCell ref="A5:I5"/>
  </mergeCells>
  <pageMargins left="0.69" right="0.19685039370078741" top="0.71" bottom="0.43307086614173229" header="0.42" footer="0.15748031496062992"/>
  <pageSetup paperSize="9" orientation="landscape" horizontalDpi="1200" verticalDpi="1200" r:id="rId1"/>
  <headerFooter>
    <oddHeader>&amp;R&amp;"+,thường"&amp;12Mẫu số 19/CKTC-NSĐP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DT10</vt:lpstr>
      <vt:lpstr>DT11</vt:lpstr>
      <vt:lpstr>DT12</vt:lpstr>
      <vt:lpstr>DT13</vt:lpstr>
      <vt:lpstr>DT14</vt:lpstr>
      <vt:lpstr>DT17</vt:lpstr>
      <vt:lpstr>DT18</vt:lpstr>
      <vt:lpstr>DT19</vt:lpstr>
      <vt:lpstr>'DT12'!Print_Titles</vt:lpstr>
      <vt:lpstr>'DT17'!Print_Titles</vt:lpstr>
      <vt:lpstr>'DT19'!Print_Titles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nguyenminhtam</cp:lastModifiedBy>
  <cp:lastPrinted>2014-07-31T08:32:14Z</cp:lastPrinted>
  <dcterms:created xsi:type="dcterms:W3CDTF">2014-02-24T07:44:35Z</dcterms:created>
  <dcterms:modified xsi:type="dcterms:W3CDTF">2014-07-31T08:34:05Z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ISdDocName">
    <vt:lpwstr>BTC216037</vt:lpwstr>
  </property>
  <property fmtid="{D5CDD505-2E9C-101B-9397-08002B2CF9AE}" pid="3" name="DISProperties">
    <vt:lpwstr>DISdDocName,DIScgiUrl,DISdUser,DISdID,DISidcName,DISTaskPaneUrl</vt:lpwstr>
  </property>
  <property fmtid="{D5CDD505-2E9C-101B-9397-08002B2CF9AE}" pid="4" name="DIScgiUrl">
    <vt:lpwstr>http://svr-portal2:16250/cs/idcplg</vt:lpwstr>
  </property>
  <property fmtid="{D5CDD505-2E9C-101B-9397-08002B2CF9AE}" pid="5" name="DISdUser">
    <vt:lpwstr>anonymous</vt:lpwstr>
  </property>
  <property fmtid="{D5CDD505-2E9C-101B-9397-08002B2CF9AE}" pid="6" name="DISdID">
    <vt:lpwstr>48393</vt:lpwstr>
  </property>
  <property fmtid="{D5CDD505-2E9C-101B-9397-08002B2CF9AE}" pid="7" name="DISTaskPaneUrl">
    <vt:lpwstr>http://svr-portal2:16250/cs/idcplg?IdcService=DESKTOP_DOC_INFO&amp;dDocName=BTC216037&amp;dID=48393&amp;ClientControlled=DocMan,taskpane&amp;coreContentOnly=1</vt:lpwstr>
  </property>
  <property fmtid="{D5CDD505-2E9C-101B-9397-08002B2CF9AE}" pid="8" name="DISidcName">
    <vt:lpwstr>ucmtmp</vt:lpwstr>
  </property>
</Properties>
</file>